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6758ac1784ce5bec/Job Application/Projects Portfolio/"/>
    </mc:Choice>
  </mc:AlternateContent>
  <xr:revisionPtr revIDLastSave="1401" documentId="13_ncr:1_{613957DD-821B-45D8-8B6F-DCD8EC0D2FAC}" xr6:coauthVersionLast="47" xr6:coauthVersionMax="47" xr10:uidLastSave="{633353E1-37B3-4FCF-B3B1-264814251213}"/>
  <bookViews>
    <workbookView xWindow="-108" yWindow="-108" windowWidth="23256" windowHeight="12456" xr2:uid="{00000000-000D-0000-FFFF-FFFF00000000}"/>
  </bookViews>
  <sheets>
    <sheet name="DASHBOARD" sheetId="6" r:id="rId1"/>
    <sheet name="RAW_DATA" sheetId="1" r:id="rId2"/>
    <sheet name="REFINED_DATA" sheetId="2" r:id="rId3"/>
    <sheet name="PIVOT_ACCURACY" sheetId="3" r:id="rId4"/>
    <sheet name="PIVOT_ERRORS" sheetId="4" r:id="rId5"/>
    <sheet name="PIVOT_SLA" sheetId="5" r:id="rId6"/>
  </sheets>
  <definedNames>
    <definedName name="_xlnm._FilterDatabase" localSheetId="1" hidden="1">RAW_DATA!$A$1:$J$51</definedName>
    <definedName name="_xlnm._FilterDatabase" localSheetId="2" hidden="1">REFINED_DATA!$A$1:$I$51</definedName>
    <definedName name="Audit_ID">REFINED_DATA!$A$1:$I$51</definedName>
    <definedName name="Slicer_Week_Ending">#N/A</definedName>
  </definedNames>
  <calcPr calcId="191029"/>
  <pivotCaches>
    <pivotCache cacheId="11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2" i="2" l="1"/>
  <c r="B52" i="2"/>
  <c r="C52" i="2"/>
  <c r="D52" i="2"/>
  <c r="E52" i="2"/>
  <c r="F52" i="2"/>
  <c r="G52" i="2"/>
  <c r="C23" i="6" s="1"/>
  <c r="I52" i="2"/>
  <c r="A53" i="2"/>
  <c r="B53" i="2"/>
  <c r="C53" i="2"/>
  <c r="C14" i="6" s="1"/>
  <c r="F14" i="6" s="1"/>
  <c r="D53" i="2"/>
  <c r="D28" i="6" s="1"/>
  <c r="E53" i="2"/>
  <c r="F53" i="2"/>
  <c r="G53" i="2"/>
  <c r="I53" i="2"/>
  <c r="A54" i="2"/>
  <c r="B54" i="2"/>
  <c r="C54" i="2"/>
  <c r="D54" i="2"/>
  <c r="E54" i="2"/>
  <c r="F54" i="2"/>
  <c r="G54" i="2"/>
  <c r="I54" i="2"/>
  <c r="A55" i="2"/>
  <c r="B55" i="2"/>
  <c r="C55" i="2"/>
  <c r="D55" i="2"/>
  <c r="E55" i="2"/>
  <c r="F55" i="2"/>
  <c r="G55" i="2"/>
  <c r="I55" i="2"/>
  <c r="A56" i="2"/>
  <c r="B56" i="2"/>
  <c r="C56" i="2"/>
  <c r="D56" i="2"/>
  <c r="E56" i="2"/>
  <c r="F56" i="2"/>
  <c r="G56" i="2"/>
  <c r="I56" i="2"/>
  <c r="H5" i="6"/>
  <c r="H8" i="6" s="1"/>
  <c r="E5" i="3"/>
  <c r="E6" i="3"/>
  <c r="E7" i="3"/>
  <c r="E8" i="3"/>
  <c r="E4" i="3"/>
  <c r="B2" i="6"/>
  <c r="E19" i="5"/>
  <c r="E20" i="5"/>
  <c r="E21" i="5"/>
  <c r="E22" i="5"/>
  <c r="E18" i="5"/>
  <c r="J6" i="4"/>
  <c r="I6" i="4"/>
  <c r="H6" i="4"/>
  <c r="C5" i="4"/>
  <c r="C6" i="4"/>
  <c r="C7" i="4"/>
  <c r="C8" i="4"/>
  <c r="C4" i="4"/>
  <c r="D4" i="4" s="1"/>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 r="I51" i="2"/>
  <c r="F51" i="2"/>
  <c r="E51" i="2"/>
  <c r="D51" i="2"/>
  <c r="C51" i="2"/>
  <c r="B51" i="2"/>
  <c r="A51" i="2"/>
  <c r="I50" i="2"/>
  <c r="F50" i="2"/>
  <c r="E50" i="2"/>
  <c r="D50" i="2"/>
  <c r="C50" i="2"/>
  <c r="B50" i="2"/>
  <c r="A50" i="2"/>
  <c r="I49" i="2"/>
  <c r="H49" i="2"/>
  <c r="F49" i="2"/>
  <c r="E49" i="2"/>
  <c r="D49" i="2"/>
  <c r="C49" i="2"/>
  <c r="B49" i="2"/>
  <c r="A49" i="2"/>
  <c r="I48" i="2"/>
  <c r="H48" i="2"/>
  <c r="F48" i="2"/>
  <c r="E48" i="2"/>
  <c r="D48" i="2"/>
  <c r="C48" i="2"/>
  <c r="B48" i="2"/>
  <c r="A48" i="2"/>
  <c r="I47" i="2"/>
  <c r="F47" i="2"/>
  <c r="E47" i="2"/>
  <c r="D47" i="2"/>
  <c r="C47" i="2"/>
  <c r="B47" i="2"/>
  <c r="A47" i="2"/>
  <c r="I46" i="2"/>
  <c r="H46" i="2"/>
  <c r="F46" i="2"/>
  <c r="E46" i="2"/>
  <c r="D46" i="2"/>
  <c r="C46" i="2"/>
  <c r="B46" i="2"/>
  <c r="A46" i="2"/>
  <c r="I45" i="2"/>
  <c r="H45" i="2"/>
  <c r="F45" i="2"/>
  <c r="E45" i="2"/>
  <c r="D45" i="2"/>
  <c r="C45" i="2"/>
  <c r="B45" i="2"/>
  <c r="A45" i="2"/>
  <c r="I44" i="2"/>
  <c r="H44" i="2"/>
  <c r="F44" i="2"/>
  <c r="E44" i="2"/>
  <c r="D44" i="2"/>
  <c r="C44" i="2"/>
  <c r="B44" i="2"/>
  <c r="A44" i="2"/>
  <c r="I43" i="2"/>
  <c r="H43" i="2"/>
  <c r="F43" i="2"/>
  <c r="E43" i="2"/>
  <c r="D43" i="2"/>
  <c r="C43" i="2"/>
  <c r="B43" i="2"/>
  <c r="A43" i="2"/>
  <c r="I42" i="2"/>
  <c r="H42" i="2"/>
  <c r="F42" i="2"/>
  <c r="E42" i="2"/>
  <c r="D42" i="2"/>
  <c r="C42" i="2"/>
  <c r="B42" i="2"/>
  <c r="A42" i="2"/>
  <c r="I41" i="2"/>
  <c r="H41" i="2"/>
  <c r="F41" i="2"/>
  <c r="E41" i="2"/>
  <c r="D41" i="2"/>
  <c r="C41" i="2"/>
  <c r="B41" i="2"/>
  <c r="A41" i="2"/>
  <c r="I40" i="2"/>
  <c r="H40" i="2"/>
  <c r="F40" i="2"/>
  <c r="E40" i="2"/>
  <c r="D40" i="2"/>
  <c r="C40" i="2"/>
  <c r="B40" i="2"/>
  <c r="A40" i="2"/>
  <c r="I39" i="2"/>
  <c r="H39" i="2"/>
  <c r="F39" i="2"/>
  <c r="E39" i="2"/>
  <c r="D39" i="2"/>
  <c r="C39" i="2"/>
  <c r="B39" i="2"/>
  <c r="A39" i="2"/>
  <c r="I38" i="2"/>
  <c r="H38" i="2"/>
  <c r="F38" i="2"/>
  <c r="E38" i="2"/>
  <c r="D38" i="2"/>
  <c r="C38" i="2"/>
  <c r="B38" i="2"/>
  <c r="A38" i="2"/>
  <c r="I37" i="2"/>
  <c r="F37" i="2"/>
  <c r="E37" i="2"/>
  <c r="D37" i="2"/>
  <c r="C37" i="2"/>
  <c r="B37" i="2"/>
  <c r="A37" i="2"/>
  <c r="I36" i="2"/>
  <c r="H36" i="2"/>
  <c r="F36" i="2"/>
  <c r="E36" i="2"/>
  <c r="D36" i="2"/>
  <c r="C36" i="2"/>
  <c r="B36" i="2"/>
  <c r="A36" i="2"/>
  <c r="I35" i="2"/>
  <c r="H35" i="2"/>
  <c r="F35" i="2"/>
  <c r="E35" i="2"/>
  <c r="D35" i="2"/>
  <c r="C35" i="2"/>
  <c r="B35" i="2"/>
  <c r="A35" i="2"/>
  <c r="I34" i="2"/>
  <c r="H34" i="2"/>
  <c r="F34" i="2"/>
  <c r="E34" i="2"/>
  <c r="D34" i="2"/>
  <c r="C34" i="2"/>
  <c r="B34" i="2"/>
  <c r="A34" i="2"/>
  <c r="I33" i="2"/>
  <c r="H33" i="2"/>
  <c r="F33" i="2"/>
  <c r="E33" i="2"/>
  <c r="D33" i="2"/>
  <c r="C33" i="2"/>
  <c r="B33" i="2"/>
  <c r="A33" i="2"/>
  <c r="I32" i="2"/>
  <c r="F32" i="2"/>
  <c r="E32" i="2"/>
  <c r="D32" i="2"/>
  <c r="C32" i="2"/>
  <c r="B32" i="2"/>
  <c r="A32" i="2"/>
  <c r="I31" i="2"/>
  <c r="H31" i="2"/>
  <c r="F31" i="2"/>
  <c r="E31" i="2"/>
  <c r="D31" i="2"/>
  <c r="C31" i="2"/>
  <c r="B31" i="2"/>
  <c r="A31" i="2"/>
  <c r="I30" i="2"/>
  <c r="H30" i="2"/>
  <c r="F30" i="2"/>
  <c r="E30" i="2"/>
  <c r="D30" i="2"/>
  <c r="C30" i="2"/>
  <c r="B30" i="2"/>
  <c r="A30" i="2"/>
  <c r="I29" i="2"/>
  <c r="H29" i="2"/>
  <c r="F29" i="2"/>
  <c r="E29" i="2"/>
  <c r="D29" i="2"/>
  <c r="C29" i="2"/>
  <c r="B29" i="2"/>
  <c r="A29" i="2"/>
  <c r="I28" i="2"/>
  <c r="H28" i="2"/>
  <c r="F28" i="2"/>
  <c r="E28" i="2"/>
  <c r="D28" i="2"/>
  <c r="C28" i="2"/>
  <c r="B28" i="2"/>
  <c r="A28" i="2"/>
  <c r="I27" i="2"/>
  <c r="H27" i="2"/>
  <c r="F27" i="2"/>
  <c r="E27" i="2"/>
  <c r="D27" i="2"/>
  <c r="C27" i="2"/>
  <c r="B27" i="2"/>
  <c r="A27" i="2"/>
  <c r="I26" i="2"/>
  <c r="H26" i="2"/>
  <c r="F26" i="2"/>
  <c r="E26" i="2"/>
  <c r="D26" i="2"/>
  <c r="C26" i="2"/>
  <c r="B26" i="2"/>
  <c r="A26" i="2"/>
  <c r="I25" i="2"/>
  <c r="H25" i="2"/>
  <c r="F25" i="2"/>
  <c r="E25" i="2"/>
  <c r="D25" i="2"/>
  <c r="C25" i="2"/>
  <c r="B25" i="2"/>
  <c r="A25" i="2"/>
  <c r="I24" i="2"/>
  <c r="H24" i="2"/>
  <c r="F24" i="2"/>
  <c r="E24" i="2"/>
  <c r="D24" i="2"/>
  <c r="C24" i="2"/>
  <c r="B24" i="2"/>
  <c r="A24" i="2"/>
  <c r="I23" i="2"/>
  <c r="H23" i="2"/>
  <c r="F23" i="2"/>
  <c r="E23" i="2"/>
  <c r="D23" i="2"/>
  <c r="C23" i="2"/>
  <c r="B23" i="2"/>
  <c r="A23" i="2"/>
  <c r="I22" i="2"/>
  <c r="H22" i="2"/>
  <c r="F22" i="2"/>
  <c r="E22" i="2"/>
  <c r="D22" i="2"/>
  <c r="C22" i="2"/>
  <c r="B22" i="2"/>
  <c r="A22" i="2"/>
  <c r="I21" i="2"/>
  <c r="H21" i="2"/>
  <c r="F21" i="2"/>
  <c r="E21" i="2"/>
  <c r="D21" i="2"/>
  <c r="C21" i="2"/>
  <c r="B21" i="2"/>
  <c r="A21" i="2"/>
  <c r="I20" i="2"/>
  <c r="H20" i="2"/>
  <c r="F20" i="2"/>
  <c r="E20" i="2"/>
  <c r="D20" i="2"/>
  <c r="C20" i="2"/>
  <c r="B20" i="2"/>
  <c r="A20" i="2"/>
  <c r="I19" i="2"/>
  <c r="F19" i="2"/>
  <c r="E19" i="2"/>
  <c r="D19" i="2"/>
  <c r="C19" i="2"/>
  <c r="B19" i="2"/>
  <c r="A19" i="2"/>
  <c r="I18" i="2"/>
  <c r="H18" i="2"/>
  <c r="F18" i="2"/>
  <c r="E18" i="2"/>
  <c r="D18" i="2"/>
  <c r="C18" i="2"/>
  <c r="B18" i="2"/>
  <c r="A18" i="2"/>
  <c r="I17" i="2"/>
  <c r="H17" i="2"/>
  <c r="F17" i="2"/>
  <c r="E17" i="2"/>
  <c r="D17" i="2"/>
  <c r="C17" i="2"/>
  <c r="B17" i="2"/>
  <c r="A17" i="2"/>
  <c r="I16" i="2"/>
  <c r="H16" i="2"/>
  <c r="F16" i="2"/>
  <c r="E16" i="2"/>
  <c r="D16" i="2"/>
  <c r="C16" i="2"/>
  <c r="B16" i="2"/>
  <c r="A16" i="2"/>
  <c r="I15" i="2"/>
  <c r="F15" i="2"/>
  <c r="E15" i="2"/>
  <c r="D15" i="2"/>
  <c r="C15" i="2"/>
  <c r="B15" i="2"/>
  <c r="A15" i="2"/>
  <c r="I14" i="2"/>
  <c r="H14" i="2"/>
  <c r="F14" i="2"/>
  <c r="E14" i="2"/>
  <c r="D14" i="2"/>
  <c r="C14" i="2"/>
  <c r="B14" i="2"/>
  <c r="A14" i="2"/>
  <c r="I13" i="2"/>
  <c r="H13" i="2"/>
  <c r="F13" i="2"/>
  <c r="E13" i="2"/>
  <c r="D13" i="2"/>
  <c r="C13" i="2"/>
  <c r="B13" i="2"/>
  <c r="A13" i="2"/>
  <c r="I12" i="2"/>
  <c r="H12" i="2"/>
  <c r="F12" i="2"/>
  <c r="E12" i="2"/>
  <c r="D12" i="2"/>
  <c r="C12" i="2"/>
  <c r="B12" i="2"/>
  <c r="A12" i="2"/>
  <c r="I11" i="2"/>
  <c r="H11" i="2"/>
  <c r="F11" i="2"/>
  <c r="E11" i="2"/>
  <c r="D11" i="2"/>
  <c r="C11" i="2"/>
  <c r="B11" i="2"/>
  <c r="A11" i="2"/>
  <c r="I10" i="2"/>
  <c r="H10" i="2"/>
  <c r="F10" i="2"/>
  <c r="E10" i="2"/>
  <c r="D10" i="2"/>
  <c r="C10" i="2"/>
  <c r="B10" i="2"/>
  <c r="A10" i="2"/>
  <c r="I9" i="2"/>
  <c r="H9" i="2"/>
  <c r="F9" i="2"/>
  <c r="E9" i="2"/>
  <c r="D9" i="2"/>
  <c r="C9" i="2"/>
  <c r="B9" i="2"/>
  <c r="A9" i="2"/>
  <c r="I8" i="2"/>
  <c r="H8" i="2"/>
  <c r="F8" i="2"/>
  <c r="E8" i="2"/>
  <c r="D8" i="2"/>
  <c r="C8" i="2"/>
  <c r="B8" i="2"/>
  <c r="A8" i="2"/>
  <c r="I7" i="2"/>
  <c r="H7" i="2"/>
  <c r="F7" i="2"/>
  <c r="E7" i="2"/>
  <c r="D7" i="2"/>
  <c r="C7" i="2"/>
  <c r="B7" i="2"/>
  <c r="A7" i="2"/>
  <c r="I6" i="2"/>
  <c r="H6" i="2"/>
  <c r="F6" i="2"/>
  <c r="E6" i="2"/>
  <c r="D6" i="2"/>
  <c r="C6" i="2"/>
  <c r="B6" i="2"/>
  <c r="A6" i="2"/>
  <c r="I5" i="2"/>
  <c r="F5" i="2"/>
  <c r="E5" i="2"/>
  <c r="D5" i="2"/>
  <c r="C5" i="2"/>
  <c r="B5" i="2"/>
  <c r="A5" i="2"/>
  <c r="I4" i="2"/>
  <c r="H4" i="2"/>
  <c r="F4" i="2"/>
  <c r="E4" i="2"/>
  <c r="D4" i="2"/>
  <c r="C4" i="2"/>
  <c r="B4" i="2"/>
  <c r="A4" i="2"/>
  <c r="I3" i="2"/>
  <c r="H3" i="2"/>
  <c r="F3" i="2"/>
  <c r="E3" i="2"/>
  <c r="D3" i="2"/>
  <c r="C3" i="2"/>
  <c r="B3" i="2"/>
  <c r="A3" i="2"/>
  <c r="I2" i="2"/>
  <c r="H2" i="2"/>
  <c r="F2" i="2"/>
  <c r="E2" i="2"/>
  <c r="D2" i="2"/>
  <c r="C2" i="2"/>
  <c r="B2" i="2"/>
  <c r="A2" i="2"/>
  <c r="D5" i="6"/>
  <c r="B5" i="6"/>
  <c r="F5" i="5" l="1"/>
  <c r="G11" i="5"/>
  <c r="H11" i="5" s="1"/>
  <c r="I4" i="4"/>
  <c r="D30" i="6"/>
  <c r="E13" i="6"/>
  <c r="G4" i="4"/>
  <c r="D12" i="6"/>
  <c r="H4" i="4"/>
  <c r="C21" i="6"/>
  <c r="C22" i="6"/>
  <c r="K8" i="4"/>
  <c r="F5" i="6"/>
  <c r="F8" i="6" s="1"/>
  <c r="C24" i="6"/>
  <c r="K6" i="4"/>
  <c r="C13" i="6"/>
  <c r="F13" i="6" s="1"/>
  <c r="J8" i="4"/>
  <c r="E14" i="6"/>
  <c r="D16" i="6"/>
  <c r="G7" i="4"/>
  <c r="C31" i="6"/>
  <c r="E31" i="6" s="1"/>
  <c r="F7" i="5"/>
  <c r="G5" i="4"/>
  <c r="G5" i="5"/>
  <c r="H5" i="5" s="1"/>
  <c r="D31" i="6"/>
  <c r="G8" i="4"/>
  <c r="E15" i="6"/>
  <c r="D29" i="6"/>
  <c r="F9" i="5"/>
  <c r="J4" i="4"/>
  <c r="D15" i="6"/>
  <c r="B41" i="6"/>
  <c r="H7" i="4"/>
  <c r="C30" i="6"/>
  <c r="E30" i="6" s="1"/>
  <c r="F6" i="5"/>
  <c r="C29" i="6"/>
  <c r="E29" i="6" s="1"/>
  <c r="J7" i="4"/>
  <c r="E12" i="6"/>
  <c r="K7" i="4"/>
  <c r="E16" i="6"/>
  <c r="J5" i="4"/>
  <c r="C12" i="6"/>
  <c r="F12" i="6" s="1"/>
  <c r="H8" i="4"/>
  <c r="C16" i="6"/>
  <c r="F16" i="6" s="1"/>
  <c r="C20" i="6"/>
  <c r="C28" i="6"/>
  <c r="E28" i="6" s="1"/>
  <c r="F8" i="5"/>
  <c r="K4" i="4"/>
  <c r="D14" i="6"/>
  <c r="I7" i="4"/>
  <c r="D13" i="6"/>
  <c r="H5" i="4"/>
  <c r="I5" i="4"/>
  <c r="G9" i="5"/>
  <c r="H9" i="5" s="1"/>
  <c r="G8" i="5"/>
  <c r="H8" i="5" s="1"/>
  <c r="K5" i="4"/>
  <c r="G7" i="5"/>
  <c r="H7" i="5" s="1"/>
  <c r="G6" i="4"/>
  <c r="I8" i="4"/>
  <c r="G6" i="5"/>
  <c r="H6" i="5" s="1"/>
  <c r="C15" i="6"/>
  <c r="F15" i="6" s="1"/>
  <c r="B8" i="6"/>
  <c r="D5" i="4"/>
  <c r="D6" i="4" s="1"/>
  <c r="D7" i="4" s="1"/>
  <c r="D8" i="4" s="1"/>
  <c r="C9" i="4"/>
  <c r="D23" i="6" l="1"/>
  <c r="L4" i="4"/>
  <c r="K9" i="4"/>
  <c r="D22" i="6"/>
  <c r="I9" i="4"/>
  <c r="L6" i="4"/>
  <c r="L7" i="4"/>
  <c r="J9" i="4"/>
  <c r="D24" i="6"/>
  <c r="L5" i="4"/>
  <c r="D20" i="6"/>
  <c r="D21" i="6"/>
  <c r="L8" i="4"/>
  <c r="H9" i="4"/>
  <c r="G9" i="4"/>
  <c r="L9" i="4" l="1"/>
</calcChain>
</file>

<file path=xl/sharedStrings.xml><?xml version="1.0" encoding="utf-8"?>
<sst xmlns="http://schemas.openxmlformats.org/spreadsheetml/2006/main" count="469" uniqueCount="214">
  <si>
    <t>Audit_ID</t>
  </si>
  <si>
    <t>Audit_Date</t>
  </si>
  <si>
    <t>Week_Ending</t>
  </si>
  <si>
    <t>Analyst_Name</t>
  </si>
  <si>
    <t>Case_ID</t>
  </si>
  <si>
    <t>Process_Type</t>
  </si>
  <si>
    <t>Is_Correct</t>
  </si>
  <si>
    <t>Error_Category</t>
  </si>
  <si>
    <t>AHT_Minutes</t>
  </si>
  <si>
    <t>SLA_Met</t>
  </si>
  <si>
    <t>AUD-001</t>
  </si>
  <si>
    <t>02-Jun-26</t>
  </si>
  <si>
    <t>07-Jun-26</t>
  </si>
  <si>
    <t>Priya Sharma</t>
  </si>
  <si>
    <t>LN-5001</t>
  </si>
  <si>
    <t>Personal Loan</t>
  </si>
  <si>
    <t>AUD-002</t>
  </si>
  <si>
    <t>Rohan Mehta</t>
  </si>
  <si>
    <t>LN-5002</t>
  </si>
  <si>
    <t>Home Loan</t>
  </si>
  <si>
    <t>AUD-003</t>
  </si>
  <si>
    <t>03-Jun-26</t>
  </si>
  <si>
    <t>Sneha Patil</t>
  </si>
  <si>
    <t>LN-5003</t>
  </si>
  <si>
    <t>MSME Loan</t>
  </si>
  <si>
    <t>Document Error</t>
  </si>
  <si>
    <t>AUD-004</t>
  </si>
  <si>
    <t>Karan Joshi</t>
  </si>
  <si>
    <t>LN-5004</t>
  </si>
  <si>
    <t>Gold Loan</t>
  </si>
  <si>
    <t>AUD-005</t>
  </si>
  <si>
    <t>04-Jun-26</t>
  </si>
  <si>
    <t>Meera Nair</t>
  </si>
  <si>
    <t>LN-5005</t>
  </si>
  <si>
    <t>AUD-006</t>
  </si>
  <si>
    <t>LN-5006</t>
  </si>
  <si>
    <t>Calculation Error</t>
  </si>
  <si>
    <t>AUD-007</t>
  </si>
  <si>
    <t>05-Jun-26</t>
  </si>
  <si>
    <t>LN-5007</t>
  </si>
  <si>
    <t>AUD-008</t>
  </si>
  <si>
    <t>LN-5008</t>
  </si>
  <si>
    <t>AUD-009</t>
  </si>
  <si>
    <t>06-Jun-26</t>
  </si>
  <si>
    <t>LN-5009</t>
  </si>
  <si>
    <t>AUD-010</t>
  </si>
  <si>
    <t>LN-5010</t>
  </si>
  <si>
    <t>Policy Mismatch</t>
  </si>
  <si>
    <t>AUD-011</t>
  </si>
  <si>
    <t>08-Jun-26</t>
  </si>
  <si>
    <t>14-Jun-26</t>
  </si>
  <si>
    <t>LN-5011</t>
  </si>
  <si>
    <t>AUD-012</t>
  </si>
  <si>
    <t>09-Jun-26</t>
  </si>
  <si>
    <t>LN-5012</t>
  </si>
  <si>
    <t>AUD-013</t>
  </si>
  <si>
    <t>LN-5013</t>
  </si>
  <si>
    <t>AUD-014</t>
  </si>
  <si>
    <t>10-Jun-26</t>
  </si>
  <si>
    <t>LN-5014</t>
  </si>
  <si>
    <t>AUD-015</t>
  </si>
  <si>
    <t>LN-5015</t>
  </si>
  <si>
    <t>AUD-016</t>
  </si>
  <si>
    <t>11-Jun-26</t>
  </si>
  <si>
    <t>LN-5016</t>
  </si>
  <si>
    <t>AUD-017</t>
  </si>
  <si>
    <t>12-Jun-26</t>
  </si>
  <si>
    <t>LN-5017</t>
  </si>
  <si>
    <t>AUD-018</t>
  </si>
  <si>
    <t>13-Jun-26</t>
  </si>
  <si>
    <t>LN-5018</t>
  </si>
  <si>
    <t>AUD-019</t>
  </si>
  <si>
    <t>LN-5019</t>
  </si>
  <si>
    <t>AUD-020</t>
  </si>
  <si>
    <t>LN-5020</t>
  </si>
  <si>
    <t>AUD-021</t>
  </si>
  <si>
    <t>15-Jun-26</t>
  </si>
  <si>
    <t>21-Jun-26</t>
  </si>
  <si>
    <t>LN-5021</t>
  </si>
  <si>
    <t>AUD-022</t>
  </si>
  <si>
    <t>LN-5022</t>
  </si>
  <si>
    <t>AUD-023</t>
  </si>
  <si>
    <t>16-Jun-26</t>
  </si>
  <si>
    <t>LN-5023</t>
  </si>
  <si>
    <t>Compliance Error</t>
  </si>
  <si>
    <t>AUD-024</t>
  </si>
  <si>
    <t>LN-5024</t>
  </si>
  <si>
    <t>AUD-025</t>
  </si>
  <si>
    <t>17-Jun-26</t>
  </si>
  <si>
    <t>LN-5025</t>
  </si>
  <si>
    <t>AUD-026</t>
  </si>
  <si>
    <t>LN-5026</t>
  </si>
  <si>
    <t>AUD-027</t>
  </si>
  <si>
    <t>18-Jun-26</t>
  </si>
  <si>
    <t>LN-5027</t>
  </si>
  <si>
    <t>AUD-028</t>
  </si>
  <si>
    <t>LN-5028</t>
  </si>
  <si>
    <t>Data Entry Error</t>
  </si>
  <si>
    <t>AUD-029</t>
  </si>
  <si>
    <t>19-Jun-26</t>
  </si>
  <si>
    <t>LN-5029</t>
  </si>
  <si>
    <t>AUD-030</t>
  </si>
  <si>
    <t>LN-5030</t>
  </si>
  <si>
    <t>AUD-031</t>
  </si>
  <si>
    <t>20-Jun-26</t>
  </si>
  <si>
    <t>LN-5031</t>
  </si>
  <si>
    <t>AUD-032</t>
  </si>
  <si>
    <t>LN-5032</t>
  </si>
  <si>
    <t>AUD-033</t>
  </si>
  <si>
    <t>LN-5033</t>
  </si>
  <si>
    <t>AUD-034</t>
  </si>
  <si>
    <t>LN-5034</t>
  </si>
  <si>
    <t>AUD-035</t>
  </si>
  <si>
    <t>LN-5035</t>
  </si>
  <si>
    <t>AUD-036</t>
  </si>
  <si>
    <t>LN-5036</t>
  </si>
  <si>
    <t>AUD-037</t>
  </si>
  <si>
    <t>22-Jun-26</t>
  </si>
  <si>
    <t>28-Jun-26</t>
  </si>
  <si>
    <t>LN-5037</t>
  </si>
  <si>
    <t>AUD-038</t>
  </si>
  <si>
    <t>LN-5038</t>
  </si>
  <si>
    <t>AUD-039</t>
  </si>
  <si>
    <t>23-Jun-26</t>
  </si>
  <si>
    <t>LN-5039</t>
  </si>
  <si>
    <t>AUD-040</t>
  </si>
  <si>
    <t>LN-5040</t>
  </si>
  <si>
    <t>AUD-041</t>
  </si>
  <si>
    <t>24-Jun-26</t>
  </si>
  <si>
    <t>LN-5041</t>
  </si>
  <si>
    <t>AUD-042</t>
  </si>
  <si>
    <t>LN-5042</t>
  </si>
  <si>
    <t>AUD-043</t>
  </si>
  <si>
    <t>25-Jun-26</t>
  </si>
  <si>
    <t>LN-5043</t>
  </si>
  <si>
    <t>AUD-044</t>
  </si>
  <si>
    <t>LN-5044</t>
  </si>
  <si>
    <t>AUD-045</t>
  </si>
  <si>
    <t>26-Jun-26</t>
  </si>
  <si>
    <t>LN-5045</t>
  </si>
  <si>
    <t>AUD-046</t>
  </si>
  <si>
    <t>LN-5046</t>
  </si>
  <si>
    <t>AUD-047</t>
  </si>
  <si>
    <t>27-Jun-26</t>
  </si>
  <si>
    <t>LN-5047</t>
  </si>
  <si>
    <t>AUD-048</t>
  </si>
  <si>
    <t>LN-5048</t>
  </si>
  <si>
    <t>AUD-049</t>
  </si>
  <si>
    <t>LN-5049</t>
  </si>
  <si>
    <t>AUD-050</t>
  </si>
  <si>
    <t>LN-5050</t>
  </si>
  <si>
    <t>Accuracy_Flag</t>
  </si>
  <si>
    <t>Grand Total</t>
  </si>
  <si>
    <t>Accuracy_Rate</t>
  </si>
  <si>
    <t>Total_Audits</t>
  </si>
  <si>
    <t>Correct_Decisions</t>
  </si>
  <si>
    <t>SLA Status (Target: 92%)</t>
  </si>
  <si>
    <t>(All)</t>
  </si>
  <si>
    <t>Error_Count</t>
  </si>
  <si>
    <t>% of Total Errors</t>
  </si>
  <si>
    <t>Cumulative %</t>
  </si>
  <si>
    <t>ERROR BREAKDOWN BY ANALYST</t>
  </si>
  <si>
    <t>Total</t>
  </si>
  <si>
    <t>Breached</t>
  </si>
  <si>
    <t>Met</t>
  </si>
  <si>
    <t>Cases</t>
  </si>
  <si>
    <t>SLA Adherence Rate</t>
  </si>
  <si>
    <t>Avg AHT (mins)</t>
  </si>
  <si>
    <t>vs Target</t>
  </si>
  <si>
    <t>Team SLA Target</t>
  </si>
  <si>
    <t>Team Average AHT</t>
  </si>
  <si>
    <t>Total_Cases</t>
  </si>
  <si>
    <t>Avg_AHT</t>
  </si>
  <si>
    <t>Max_AHT</t>
  </si>
  <si>
    <t>SLA Status</t>
  </si>
  <si>
    <t>SLA_Status</t>
  </si>
  <si>
    <t>SLA ADHERENCE BY ANALYST</t>
  </si>
  <si>
    <t>AHT BY PROCESS</t>
  </si>
  <si>
    <t>LOAN PROCESSING QUALITY — WEEKLY PERFORMANCE DASHBOARD</t>
  </si>
  <si>
    <t>TEAM ACCURACY</t>
  </si>
  <si>
    <t>TOTAL AUDITS</t>
  </si>
  <si>
    <t>Cases This Period</t>
  </si>
  <si>
    <t>SLA ADHERENCE</t>
  </si>
  <si>
    <t>Target: 80%</t>
  </si>
  <si>
    <t>TOTAL ERRORS</t>
  </si>
  <si>
    <t>Of 50 Audits This Period</t>
  </si>
  <si>
    <t>ANALYST PERFORMANCE SUMMARY</t>
  </si>
  <si>
    <t xml:space="preserve">Analyst </t>
  </si>
  <si>
    <t xml:space="preserve">Accuracy </t>
  </si>
  <si>
    <t xml:space="preserve">SLA Rate </t>
  </si>
  <si>
    <t xml:space="preserve">Errors  </t>
  </si>
  <si>
    <t xml:space="preserve">Status </t>
  </si>
  <si>
    <t>Target: 85%</t>
  </si>
  <si>
    <t>TOP ERROR CATEGORIES</t>
  </si>
  <si>
    <t xml:space="preserve">Error Category </t>
  </si>
  <si>
    <t>Count</t>
  </si>
  <si>
    <t>% of Errors</t>
  </si>
  <si>
    <t>AHT BY PROCESS TYPE</t>
  </si>
  <si>
    <t>Process Type</t>
  </si>
  <si>
    <t>Avg AHT</t>
  </si>
  <si>
    <t>Max AHT</t>
  </si>
  <si>
    <t>✅ Audit Met</t>
  </si>
  <si>
    <t xml:space="preserve"> SELECT WEEK TO FILTER ALL TABLES</t>
  </si>
  <si>
    <t>KEY INSIGHT</t>
  </si>
  <si>
    <t>AUD-051</t>
  </si>
  <si>
    <t>AUD-052</t>
  </si>
  <si>
    <t>AUD-053</t>
  </si>
  <si>
    <t>AUD-054</t>
  </si>
  <si>
    <t>AUD-055</t>
  </si>
  <si>
    <t>LN-5051</t>
  </si>
  <si>
    <t>LN-5052</t>
  </si>
  <si>
    <t>LN-5053</t>
  </si>
  <si>
    <t>LN-5054</t>
  </si>
  <si>
    <t>LN-5055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</si>
</sst>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26" x14ac:knownFonts="1">
    <font>
      <sz val="11"/>
      <color theme="1"/>
      <name val="Calibri"/>
      <family val="2"/>
      <scheme val="minor"/>
    </font>
    <font>
      <b/>
      <sz val="11"/>
      <color rgb="FFFFFFFF"/>
      <name val="Calibri"/>
    </font>
    <font>
      <sz val="8"/>
      <name val="Calibri"/>
      <family val="2"/>
      <scheme val="minor"/>
    </font>
    <font>
      <sz val="11"/>
      <color theme="1"/>
      <name val="Calibri"/>
      <family val="2"/>
      <scheme val="minor"/>
    </font>
    <font>
      <sz val="10"/>
      <color theme="1"/>
      <name val="Arial"/>
      <family val="2"/>
    </font>
    <font>
      <b/>
      <sz val="10"/>
      <color theme="0"/>
      <name val="Arial"/>
      <family val="2"/>
    </font>
    <font>
      <b/>
      <sz val="10"/>
      <color theme="1"/>
      <name val="Arial"/>
      <family val="2"/>
    </font>
    <font>
      <b/>
      <sz val="14"/>
      <color theme="0"/>
      <name val="Arial"/>
      <family val="2"/>
    </font>
    <font>
      <i/>
      <sz val="10"/>
      <color theme="0"/>
      <name val="Arial"/>
      <family val="2"/>
    </font>
    <font>
      <sz val="28"/>
      <color theme="1"/>
      <name val="Arial"/>
      <family val="2"/>
    </font>
    <font>
      <b/>
      <sz val="9"/>
      <color theme="0"/>
      <name val="Arial"/>
      <family val="2"/>
    </font>
    <font>
      <b/>
      <sz val="9"/>
      <color theme="1"/>
      <name val="Arial"/>
      <family val="2"/>
    </font>
    <font>
      <sz val="10"/>
      <color theme="1"/>
      <name val="Calibri"/>
      <family val="2"/>
      <scheme val="minor"/>
    </font>
    <font>
      <sz val="9"/>
      <color theme="1"/>
      <name val="Calibri"/>
      <family val="2"/>
      <scheme val="minor"/>
    </font>
    <font>
      <sz val="26"/>
      <color theme="1"/>
      <name val="Arial"/>
      <family val="2"/>
    </font>
    <font>
      <sz val="26"/>
      <color theme="1"/>
      <name val="Calibri"/>
      <family val="2"/>
      <scheme val="minor"/>
    </font>
    <font>
      <b/>
      <sz val="11"/>
      <color theme="1"/>
      <name val="Arial"/>
      <family val="2"/>
    </font>
    <font>
      <sz val="9"/>
      <color theme="1"/>
      <name val="Arial"/>
      <family val="2"/>
    </font>
    <font>
      <i/>
      <sz val="9"/>
      <color theme="0" tint="-0.499984740745262"/>
      <name val="Arial"/>
      <family val="2"/>
    </font>
    <font>
      <i/>
      <sz val="9"/>
      <color theme="0" tint="-0.499984740745262"/>
      <name val="Calibri"/>
      <family val="2"/>
      <scheme val="minor"/>
    </font>
    <font>
      <sz val="10"/>
      <name val="Arial"/>
      <family val="2"/>
    </font>
    <font>
      <b/>
      <sz val="9"/>
      <color theme="6" tint="-0.499984740745262"/>
      <name val="Arial"/>
      <family val="2"/>
    </font>
    <font>
      <b/>
      <sz val="9"/>
      <color theme="4" tint="-0.499984740745262"/>
      <name val="Arial"/>
      <family val="2"/>
    </font>
    <font>
      <b/>
      <sz val="9"/>
      <color theme="9" tint="-0.499984740745262"/>
      <name val="Arial"/>
      <family val="2"/>
    </font>
    <font>
      <b/>
      <i/>
      <sz val="9"/>
      <color theme="0" tint="-0.499984740745262"/>
      <name val="Arial"/>
      <family val="2"/>
    </font>
    <font>
      <i/>
      <sz val="10"/>
      <color theme="1"/>
      <name val="Arial"/>
      <family val="2"/>
    </font>
  </fonts>
  <fills count="15">
    <fill>
      <patternFill patternType="none"/>
    </fill>
    <fill>
      <patternFill patternType="gray125"/>
    </fill>
    <fill>
      <patternFill patternType="solid">
        <fgColor rgb="FF1F3B60"/>
      </patternFill>
    </fill>
    <fill>
      <patternFill patternType="solid">
        <fgColor theme="4" tint="-0.499984740745262"/>
        <bgColor indexed="64"/>
      </patternFill>
    </fill>
    <fill>
      <patternFill patternType="solid">
        <fgColor rgb="FFFF0000"/>
        <bgColor indexed="64"/>
      </patternFill>
    </fill>
    <fill>
      <patternFill patternType="solid">
        <fgColor theme="6" tint="-0.499984740745262"/>
        <bgColor indexed="64"/>
      </patternFill>
    </fill>
    <fill>
      <patternFill patternType="solid">
        <fgColor theme="9" tint="-0.249977111117893"/>
        <bgColor indexed="64"/>
      </patternFill>
    </fill>
    <fill>
      <patternFill patternType="solid">
        <fgColor rgb="FF008080"/>
        <bgColor indexed="64"/>
      </patternFill>
    </fill>
    <fill>
      <patternFill patternType="solid">
        <fgColor rgb="FF1F3B60"/>
        <bgColor indexed="64"/>
      </patternFill>
    </fill>
    <fill>
      <patternFill patternType="solid">
        <fgColor rgb="FF0A7B7B"/>
        <bgColor indexed="64"/>
      </patternFill>
    </fill>
    <fill>
      <patternFill patternType="solid">
        <fgColor rgb="FFEBF5FB"/>
        <bgColor indexed="64"/>
      </patternFill>
    </fill>
    <fill>
      <patternFill patternType="solid">
        <fgColor rgb="FFEAFAF1"/>
        <bgColor indexed="64"/>
      </patternFill>
    </fill>
    <fill>
      <patternFill patternType="solid">
        <fgColor rgb="FFFDF2E9"/>
        <bgColor indexed="64"/>
      </patternFill>
    </fill>
    <fill>
      <patternFill patternType="solid">
        <fgColor theme="5" tint="-0.499984740745262"/>
        <bgColor indexed="64"/>
      </patternFill>
    </fill>
    <fill>
      <patternFill patternType="solid">
        <fgColor rgb="FFFEF9E7"/>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right/>
      <top/>
      <bottom style="thin">
        <color theme="4" tint="0.399975585192419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4659260841701"/>
      </left>
      <right/>
      <top/>
      <bottom style="thin">
        <color theme="0" tint="-0.34998626667073579"/>
      </bottom>
      <diagonal/>
    </border>
    <border>
      <left/>
      <right/>
      <top/>
      <bottom style="thin">
        <color theme="0" tint="-0.34998626667073579"/>
      </bottom>
      <diagonal/>
    </border>
    <border>
      <left style="thin">
        <color theme="0" tint="-0.24994659260841701"/>
      </left>
      <right style="thin">
        <color theme="0" tint="-0.34998626667073579"/>
      </right>
      <top style="thin">
        <color theme="0" tint="-0.24994659260841701"/>
      </top>
      <bottom style="thin">
        <color theme="0" tint="-0.34998626667073579"/>
      </bottom>
      <diagonal/>
    </border>
    <border>
      <left style="thin">
        <color theme="0" tint="-0.34998626667073579"/>
      </left>
      <right style="thin">
        <color theme="0" tint="-0.34998626667073579"/>
      </right>
      <top style="thin">
        <color theme="0" tint="-0.24994659260841701"/>
      </top>
      <bottom style="thin">
        <color theme="0" tint="-0.34998626667073579"/>
      </bottom>
      <diagonal/>
    </border>
    <border>
      <left style="thin">
        <color theme="0" tint="-0.34998626667073579"/>
      </left>
      <right style="thin">
        <color theme="0" tint="-0.24994659260841701"/>
      </right>
      <top style="thin">
        <color theme="0" tint="-0.24994659260841701"/>
      </top>
      <bottom style="thin">
        <color theme="0" tint="-0.34998626667073579"/>
      </bottom>
      <diagonal/>
    </border>
    <border>
      <left style="thin">
        <color theme="0" tint="-0.2499465926084170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24994659260841701"/>
      </right>
      <top style="thin">
        <color theme="0" tint="-0.34998626667073579"/>
      </top>
      <bottom style="thin">
        <color theme="0" tint="-0.34998626667073579"/>
      </bottom>
      <diagonal/>
    </border>
    <border>
      <left style="thin">
        <color theme="0" tint="-0.24994659260841701"/>
      </left>
      <right style="thin">
        <color theme="0" tint="-0.34998626667073579"/>
      </right>
      <top style="thin">
        <color theme="0" tint="-0.34998626667073579"/>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24994659260841701"/>
      </bottom>
      <diagonal/>
    </border>
    <border>
      <left style="thin">
        <color theme="0" tint="-0.34998626667073579"/>
      </left>
      <right style="thin">
        <color theme="0" tint="-0.24994659260841701"/>
      </right>
      <top style="thin">
        <color theme="0" tint="-0.34998626667073579"/>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style="thin">
        <color theme="0" tint="-0.34998626667073579"/>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34998626667073579"/>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34998626667073579"/>
      </bottom>
      <diagonal/>
    </border>
    <border>
      <left style="thin">
        <color theme="0" tint="-0.24994659260841701"/>
      </left>
      <right style="thin">
        <color theme="0" tint="-0.24994659260841701"/>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24994659260841701"/>
      </top>
      <bottom style="thin">
        <color theme="0" tint="-0.24994659260841701"/>
      </bottom>
      <diagonal/>
    </border>
    <border>
      <left style="thin">
        <color indexed="64"/>
      </left>
      <right/>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9" fontId="3" fillId="0" borderId="0" applyFont="0" applyFill="0" applyBorder="0" applyAlignment="0" applyProtection="0"/>
  </cellStyleXfs>
  <cellXfs count="129">
    <xf numFmtId="0" fontId="0" fillId="0" borderId="0" xfId="0"/>
    <xf numFmtId="14" fontId="0" fillId="0" borderId="0" xfId="0" applyNumberFormat="1"/>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xf numFmtId="14" fontId="0" fillId="0" borderId="1" xfId="0" applyNumberFormat="1" applyBorder="1"/>
    <xf numFmtId="164" fontId="1" fillId="2" borderId="1" xfId="0" applyNumberFormat="1" applyFont="1" applyFill="1" applyBorder="1" applyAlignment="1">
      <alignment horizontal="center" vertical="center"/>
    </xf>
    <xf numFmtId="164" fontId="0" fillId="0" borderId="1" xfId="0" applyNumberFormat="1" applyBorder="1" applyAlignment="1">
      <alignment horizontal="center" vertical="center"/>
    </xf>
    <xf numFmtId="164" fontId="0" fillId="0" borderId="0" xfId="0" applyNumberFormat="1"/>
    <xf numFmtId="1" fontId="1" fillId="2" borderId="1" xfId="0" applyNumberFormat="1" applyFont="1" applyFill="1" applyBorder="1" applyAlignment="1">
      <alignment horizontal="center" vertical="center"/>
    </xf>
    <xf numFmtId="1" fontId="0" fillId="0" borderId="1" xfId="0" applyNumberFormat="1" applyBorder="1" applyAlignment="1">
      <alignment horizontal="center" vertical="center"/>
    </xf>
    <xf numFmtId="1" fontId="0" fillId="0" borderId="0" xfId="0" applyNumberFormat="1"/>
    <xf numFmtId="1" fontId="0" fillId="0" borderId="1" xfId="0" applyNumberFormat="1" applyBorder="1"/>
    <xf numFmtId="164" fontId="0" fillId="0" borderId="1" xfId="0" applyNumberFormat="1" applyBorder="1"/>
    <xf numFmtId="0" fontId="5" fillId="3" borderId="0" xfId="0" applyFont="1" applyFill="1" applyAlignment="1">
      <alignment horizontal="center" vertical="center"/>
    </xf>
    <xf numFmtId="0" fontId="5" fillId="3" borderId="2" xfId="0" applyFont="1" applyFill="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6" fillId="0" borderId="8" xfId="0" applyFont="1" applyBorder="1" applyAlignment="1">
      <alignment horizontal="center" vertical="center"/>
    </xf>
    <xf numFmtId="0" fontId="5" fillId="3" borderId="8" xfId="0" applyFont="1" applyFill="1" applyBorder="1" applyAlignment="1">
      <alignment horizontal="center" vertical="center"/>
    </xf>
    <xf numFmtId="0" fontId="4" fillId="0" borderId="0" xfId="0" pivotButton="1" applyFont="1" applyAlignment="1">
      <alignment horizontal="center" vertical="center"/>
    </xf>
    <xf numFmtId="0" fontId="5" fillId="3" borderId="3" xfId="0" applyFont="1" applyFill="1" applyBorder="1" applyAlignment="1">
      <alignment horizontal="center" vertical="center"/>
    </xf>
    <xf numFmtId="165" fontId="5" fillId="3" borderId="6" xfId="0" applyNumberFormat="1" applyFont="1" applyFill="1" applyBorder="1" applyAlignment="1">
      <alignment horizontal="center" vertical="center"/>
    </xf>
    <xf numFmtId="0" fontId="5" fillId="3" borderId="12" xfId="0" applyFont="1" applyFill="1" applyBorder="1" applyAlignment="1">
      <alignment horizontal="center" vertical="center"/>
    </xf>
    <xf numFmtId="0" fontId="5" fillId="4" borderId="13" xfId="0" applyFont="1" applyFill="1" applyBorder="1" applyAlignment="1">
      <alignment horizontal="center" vertical="center"/>
    </xf>
    <xf numFmtId="0" fontId="4" fillId="0" borderId="15" xfId="0" applyFont="1" applyBorder="1" applyAlignment="1">
      <alignment horizontal="center" vertical="center"/>
    </xf>
    <xf numFmtId="0" fontId="4" fillId="0" borderId="17" xfId="0" applyFont="1" applyBorder="1" applyAlignment="1">
      <alignment horizontal="center" vertical="center"/>
    </xf>
    <xf numFmtId="0" fontId="5" fillId="4" borderId="20" xfId="0" applyFont="1" applyFill="1" applyBorder="1" applyAlignment="1">
      <alignment horizontal="center" vertical="center"/>
    </xf>
    <xf numFmtId="0" fontId="5" fillId="6" borderId="16" xfId="0" applyFont="1" applyFill="1" applyBorder="1" applyAlignment="1">
      <alignment horizontal="center" vertical="center"/>
    </xf>
    <xf numFmtId="165" fontId="4" fillId="0" borderId="2" xfId="1" applyNumberFormat="1" applyFont="1" applyBorder="1" applyAlignment="1">
      <alignment horizontal="center" vertical="center"/>
    </xf>
    <xf numFmtId="165" fontId="4" fillId="0" borderId="22" xfId="1" applyNumberFormat="1" applyFont="1" applyBorder="1" applyAlignment="1">
      <alignment horizontal="center" vertical="center"/>
    </xf>
    <xf numFmtId="165" fontId="4" fillId="0" borderId="23" xfId="1" applyNumberFormat="1" applyFont="1" applyBorder="1" applyAlignment="1">
      <alignment horizontal="center" vertical="center"/>
    </xf>
    <xf numFmtId="165" fontId="4" fillId="0" borderId="11" xfId="1" applyNumberFormat="1" applyFont="1" applyBorder="1" applyAlignment="1">
      <alignment horizontal="center" vertical="center"/>
    </xf>
    <xf numFmtId="165" fontId="5" fillId="3" borderId="14" xfId="1" applyNumberFormat="1" applyFont="1" applyFill="1" applyBorder="1" applyAlignment="1">
      <alignment horizontal="center" vertical="center"/>
    </xf>
    <xf numFmtId="165" fontId="4" fillId="0" borderId="0" xfId="1" applyNumberFormat="1" applyFont="1" applyBorder="1" applyAlignment="1">
      <alignment horizontal="center" vertical="center"/>
    </xf>
    <xf numFmtId="0" fontId="5" fillId="0" borderId="0" xfId="0" applyFont="1" applyAlignment="1">
      <alignment vertical="center"/>
    </xf>
    <xf numFmtId="165" fontId="5" fillId="5" borderId="1" xfId="1" applyNumberFormat="1" applyFont="1" applyFill="1" applyBorder="1" applyAlignment="1">
      <alignment horizontal="center" vertical="center"/>
    </xf>
    <xf numFmtId="165" fontId="4" fillId="0" borderId="1" xfId="1" applyNumberFormat="1" applyFont="1" applyBorder="1" applyAlignment="1">
      <alignment horizontal="center" vertical="center"/>
    </xf>
    <xf numFmtId="164"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2" xfId="0" pivotButton="1" applyFont="1" applyBorder="1" applyAlignment="1">
      <alignment horizontal="center" vertical="center"/>
    </xf>
    <xf numFmtId="0" fontId="4" fillId="0" borderId="19" xfId="0" applyFont="1" applyBorder="1" applyAlignment="1">
      <alignment horizontal="center" vertical="center"/>
    </xf>
    <xf numFmtId="0" fontId="4" fillId="0" borderId="25" xfId="0" applyFont="1" applyBorder="1" applyAlignment="1">
      <alignment horizontal="center" vertical="center"/>
    </xf>
    <xf numFmtId="0" fontId="4" fillId="0" borderId="12" xfId="0" applyFont="1" applyBorder="1" applyAlignment="1">
      <alignment horizontal="center" vertical="center"/>
    </xf>
    <xf numFmtId="165" fontId="4" fillId="0" borderId="13" xfId="0" applyNumberFormat="1" applyFont="1" applyBorder="1" applyAlignment="1">
      <alignment horizontal="center" vertical="center"/>
    </xf>
    <xf numFmtId="165" fontId="4" fillId="0" borderId="15" xfId="0" applyNumberFormat="1" applyFont="1" applyBorder="1" applyAlignment="1">
      <alignment horizontal="center" vertical="center"/>
    </xf>
    <xf numFmtId="165" fontId="4" fillId="0" borderId="18" xfId="0" applyNumberFormat="1"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0" xfId="0" applyFont="1" applyBorder="1" applyAlignment="1">
      <alignment horizontal="center" vertical="center"/>
    </xf>
    <xf numFmtId="0" fontId="5" fillId="3" borderId="22" xfId="0" applyFont="1" applyFill="1" applyBorder="1" applyAlignment="1">
      <alignment horizontal="center" vertical="center"/>
    </xf>
    <xf numFmtId="0" fontId="5" fillId="3" borderId="25" xfId="0" applyFont="1" applyFill="1" applyBorder="1" applyAlignment="1">
      <alignment horizontal="center" vertical="center"/>
    </xf>
    <xf numFmtId="0" fontId="5" fillId="3" borderId="21" xfId="0" applyFont="1" applyFill="1" applyBorder="1" applyAlignment="1">
      <alignment horizontal="center" vertical="center"/>
    </xf>
    <xf numFmtId="0" fontId="5" fillId="5" borderId="1" xfId="0" applyFont="1" applyFill="1" applyBorder="1" applyAlignment="1">
      <alignment horizontal="center" vertical="center"/>
    </xf>
    <xf numFmtId="164" fontId="5" fillId="3" borderId="0" xfId="0" applyNumberFormat="1" applyFont="1" applyFill="1" applyAlignment="1">
      <alignment horizontal="center" vertical="center"/>
    </xf>
    <xf numFmtId="0" fontId="5" fillId="0" borderId="7" xfId="0" applyFont="1" applyBorder="1" applyAlignment="1">
      <alignment horizontal="center" vertical="center"/>
    </xf>
    <xf numFmtId="0" fontId="5" fillId="4" borderId="1" xfId="0" applyFont="1" applyFill="1" applyBorder="1" applyAlignment="1">
      <alignment horizontal="center" vertical="center"/>
    </xf>
    <xf numFmtId="0" fontId="4" fillId="3" borderId="0" xfId="0" applyFont="1" applyFill="1" applyAlignment="1">
      <alignment horizontal="center" vertical="center"/>
    </xf>
    <xf numFmtId="0" fontId="11" fillId="0" borderId="0" xfId="0" applyFont="1" applyAlignment="1">
      <alignment horizontal="center" vertical="center"/>
    </xf>
    <xf numFmtId="0" fontId="10" fillId="3" borderId="1" xfId="0" applyFont="1" applyFill="1" applyBorder="1" applyAlignment="1">
      <alignment horizontal="center" vertical="center"/>
    </xf>
    <xf numFmtId="0" fontId="7" fillId="8" borderId="0" xfId="0" applyFont="1" applyFill="1" applyAlignment="1">
      <alignment horizontal="center" vertical="center"/>
    </xf>
    <xf numFmtId="14" fontId="8" fillId="9" borderId="0" xfId="0" applyNumberFormat="1" applyFont="1" applyFill="1" applyAlignment="1">
      <alignment horizontal="center" vertical="center"/>
    </xf>
    <xf numFmtId="0" fontId="5" fillId="3" borderId="9" xfId="0" applyFont="1" applyFill="1" applyBorder="1" applyAlignment="1">
      <alignment horizontal="left" vertical="top"/>
    </xf>
    <xf numFmtId="0" fontId="5" fillId="3" borderId="10" xfId="0" applyFont="1" applyFill="1" applyBorder="1" applyAlignment="1">
      <alignment horizontal="left" vertical="top"/>
    </xf>
    <xf numFmtId="0" fontId="5" fillId="7" borderId="0" xfId="0" applyFont="1" applyFill="1" applyAlignment="1">
      <alignment horizontal="center" vertical="center"/>
    </xf>
    <xf numFmtId="0" fontId="10" fillId="3" borderId="1" xfId="0" applyFont="1" applyFill="1" applyBorder="1" applyAlignment="1">
      <alignment horizontal="left" vertical="center"/>
    </xf>
    <xf numFmtId="0" fontId="10" fillId="0" borderId="0" xfId="0" applyFont="1" applyAlignment="1">
      <alignment horizontal="center" vertical="center"/>
    </xf>
    <xf numFmtId="0" fontId="13" fillId="0" borderId="0" xfId="0" applyFont="1" applyAlignment="1">
      <alignment horizontal="center" vertical="center"/>
    </xf>
    <xf numFmtId="9" fontId="9" fillId="0" borderId="0" xfId="1" applyFont="1" applyFill="1" applyBorder="1" applyAlignment="1">
      <alignment horizontal="center" vertical="center"/>
    </xf>
    <xf numFmtId="0" fontId="0" fillId="0" borderId="0" xfId="0" applyAlignment="1">
      <alignment horizontal="center" vertical="center"/>
    </xf>
    <xf numFmtId="165" fontId="14" fillId="0" borderId="0" xfId="1" applyNumberFormat="1" applyFont="1" applyFill="1" applyBorder="1" applyAlignment="1">
      <alignment horizontal="center" vertical="center"/>
    </xf>
    <xf numFmtId="0" fontId="15" fillId="0" borderId="0" xfId="0" applyFont="1" applyBorder="1" applyAlignment="1">
      <alignment horizontal="center" vertical="center"/>
    </xf>
    <xf numFmtId="0" fontId="0" fillId="0" borderId="0" xfId="0" applyBorder="1" applyAlignment="1">
      <alignment horizontal="center" vertical="center"/>
    </xf>
    <xf numFmtId="165" fontId="15" fillId="0" borderId="0" xfId="1" applyNumberFormat="1" applyFont="1" applyBorder="1" applyAlignment="1">
      <alignment horizontal="center" vertical="center"/>
    </xf>
    <xf numFmtId="0" fontId="16" fillId="0" borderId="0" xfId="0" applyFont="1" applyAlignment="1">
      <alignment horizontal="center" vertical="center"/>
    </xf>
    <xf numFmtId="9" fontId="18" fillId="0" borderId="0" xfId="1" applyFont="1" applyFill="1" applyBorder="1" applyAlignment="1">
      <alignment horizontal="center" vertical="center"/>
    </xf>
    <xf numFmtId="0" fontId="19" fillId="0" borderId="0" xfId="0" applyFont="1" applyBorder="1" applyAlignment="1">
      <alignment horizontal="center" vertical="center"/>
    </xf>
    <xf numFmtId="0" fontId="16" fillId="0" borderId="0" xfId="0" applyFont="1" applyBorder="1" applyAlignment="1">
      <alignment horizontal="center" vertical="center"/>
    </xf>
    <xf numFmtId="165" fontId="14" fillId="10" borderId="1" xfId="1" applyNumberFormat="1" applyFont="1" applyFill="1" applyBorder="1" applyAlignment="1">
      <alignment horizontal="center" vertical="center"/>
    </xf>
    <xf numFmtId="165" fontId="15" fillId="10" borderId="1" xfId="1" applyNumberFormat="1" applyFont="1" applyFill="1" applyBorder="1" applyAlignment="1">
      <alignment horizontal="center" vertical="center"/>
    </xf>
    <xf numFmtId="0" fontId="15" fillId="11" borderId="1" xfId="0" applyFont="1" applyFill="1" applyBorder="1" applyAlignment="1">
      <alignment horizontal="center" vertical="center"/>
    </xf>
    <xf numFmtId="0" fontId="17" fillId="0" borderId="0" xfId="0" applyFont="1" applyBorder="1" applyAlignment="1">
      <alignment horizontal="center" vertical="center"/>
    </xf>
    <xf numFmtId="0" fontId="18" fillId="0" borderId="0" xfId="0" applyFont="1" applyBorder="1" applyAlignment="1">
      <alignment horizontal="center" vertical="center"/>
    </xf>
    <xf numFmtId="0" fontId="5" fillId="3" borderId="0" xfId="0" applyFont="1" applyFill="1" applyBorder="1" applyAlignment="1">
      <alignment horizontal="center" vertical="center"/>
    </xf>
    <xf numFmtId="14" fontId="5" fillId="9" borderId="0" xfId="0" applyNumberFormat="1" applyFont="1" applyFill="1" applyAlignment="1">
      <alignment horizontal="left" vertical="center"/>
    </xf>
    <xf numFmtId="0" fontId="5" fillId="3" borderId="1" xfId="0" applyFont="1" applyFill="1" applyBorder="1" applyAlignment="1">
      <alignment horizontal="left" vertical="center"/>
    </xf>
    <xf numFmtId="0" fontId="4" fillId="0" borderId="1" xfId="0" applyFont="1" applyBorder="1" applyAlignment="1">
      <alignment horizontal="left" vertical="center"/>
    </xf>
    <xf numFmtId="165" fontId="4" fillId="0" borderId="1" xfId="1" applyNumberFormat="1" applyFont="1" applyBorder="1" applyAlignment="1">
      <alignment horizontal="left" vertical="center"/>
    </xf>
    <xf numFmtId="0" fontId="20" fillId="0" borderId="27" xfId="0" applyFont="1" applyFill="1" applyBorder="1" applyAlignment="1">
      <alignment horizontal="left" vertical="center"/>
    </xf>
    <xf numFmtId="0" fontId="12" fillId="0" borderId="0" xfId="0" applyFont="1" applyBorder="1" applyAlignment="1">
      <alignment horizontal="center" vertical="center"/>
    </xf>
    <xf numFmtId="0" fontId="20" fillId="0" borderId="27" xfId="0" applyFont="1" applyBorder="1" applyAlignment="1">
      <alignment horizontal="left" vertical="center"/>
    </xf>
    <xf numFmtId="165" fontId="20" fillId="0" borderId="27" xfId="1" applyNumberFormat="1" applyFont="1" applyBorder="1" applyAlignment="1">
      <alignment horizontal="left" vertical="center"/>
    </xf>
    <xf numFmtId="0" fontId="21" fillId="0" borderId="28" xfId="0" applyFont="1" applyBorder="1" applyAlignment="1">
      <alignment horizontal="center" vertical="center"/>
    </xf>
    <xf numFmtId="0" fontId="22" fillId="0" borderId="28" xfId="0" applyFont="1" applyBorder="1" applyAlignment="1">
      <alignment horizontal="center" vertical="center"/>
    </xf>
    <xf numFmtId="164" fontId="20" fillId="0" borderId="27" xfId="0" applyNumberFormat="1" applyFont="1" applyFill="1" applyBorder="1" applyAlignment="1">
      <alignment horizontal="left" vertical="center"/>
    </xf>
    <xf numFmtId="0" fontId="5" fillId="3" borderId="4" xfId="0" applyNumberFormat="1" applyFont="1" applyFill="1" applyBorder="1" applyAlignment="1">
      <alignment horizontal="center" vertical="center"/>
    </xf>
    <xf numFmtId="0" fontId="5" fillId="3" borderId="5" xfId="0" applyNumberFormat="1" applyFont="1" applyFill="1" applyBorder="1" applyAlignment="1">
      <alignment horizontal="center" vertical="center"/>
    </xf>
    <xf numFmtId="0" fontId="4" fillId="0" borderId="11" xfId="0" applyNumberFormat="1" applyFont="1" applyBorder="1" applyAlignment="1">
      <alignment horizontal="center" vertical="center"/>
    </xf>
    <xf numFmtId="0" fontId="4" fillId="0" borderId="12" xfId="0" applyNumberFormat="1" applyFont="1" applyBorder="1" applyAlignment="1">
      <alignment horizontal="center" vertical="center"/>
    </xf>
    <xf numFmtId="0" fontId="4" fillId="0" borderId="14" xfId="0" applyNumberFormat="1" applyFont="1" applyBorder="1" applyAlignment="1">
      <alignment horizontal="center" vertical="center"/>
    </xf>
    <xf numFmtId="0" fontId="4" fillId="0" borderId="8" xfId="0" applyNumberFormat="1" applyFont="1" applyBorder="1" applyAlignment="1">
      <alignment horizontal="center" vertical="center"/>
    </xf>
    <xf numFmtId="0" fontId="4" fillId="0" borderId="16" xfId="0" applyNumberFormat="1" applyFont="1" applyBorder="1" applyAlignment="1">
      <alignment horizontal="center" vertical="center"/>
    </xf>
    <xf numFmtId="0" fontId="4" fillId="0" borderId="17" xfId="0" applyNumberFormat="1" applyFont="1" applyBorder="1" applyAlignment="1">
      <alignment horizontal="center" vertical="center"/>
    </xf>
    <xf numFmtId="0" fontId="5" fillId="3" borderId="0" xfId="0" applyNumberFormat="1" applyFont="1" applyFill="1" applyAlignment="1">
      <alignment horizontal="center" vertical="center"/>
    </xf>
    <xf numFmtId="0" fontId="5" fillId="3" borderId="12" xfId="0" applyNumberFormat="1" applyFont="1" applyFill="1" applyBorder="1" applyAlignment="1">
      <alignment horizontal="center" vertical="center"/>
    </xf>
    <xf numFmtId="0" fontId="4" fillId="0" borderId="25" xfId="0" applyNumberFormat="1" applyFont="1" applyBorder="1" applyAlignment="1">
      <alignment horizontal="center" vertical="center"/>
    </xf>
    <xf numFmtId="0" fontId="4" fillId="0" borderId="0" xfId="0" applyNumberFormat="1" applyFont="1" applyAlignment="1">
      <alignment horizontal="center" vertical="center"/>
    </xf>
    <xf numFmtId="164" fontId="4" fillId="0" borderId="0" xfId="0" applyNumberFormat="1" applyFont="1" applyAlignment="1">
      <alignment horizontal="center" vertical="center"/>
    </xf>
    <xf numFmtId="0" fontId="18" fillId="0" borderId="0" xfId="0" applyFont="1" applyAlignment="1">
      <alignment vertical="center"/>
    </xf>
    <xf numFmtId="0" fontId="24" fillId="0" borderId="0" xfId="0" applyFont="1" applyAlignment="1">
      <alignment horizontal="left" vertical="center"/>
    </xf>
    <xf numFmtId="0" fontId="23" fillId="0" borderId="29" xfId="0" applyFont="1" applyBorder="1" applyAlignment="1">
      <alignment horizontal="center" vertical="center"/>
    </xf>
    <xf numFmtId="0" fontId="7" fillId="0" borderId="0" xfId="0" applyFont="1" applyFill="1" applyBorder="1" applyAlignment="1">
      <alignment vertical="center"/>
    </xf>
    <xf numFmtId="14" fontId="8" fillId="0" borderId="0" xfId="0" applyNumberFormat="1" applyFont="1" applyFill="1" applyBorder="1" applyAlignment="1">
      <alignment vertical="center"/>
    </xf>
    <xf numFmtId="0" fontId="0" fillId="0" borderId="0" xfId="0" applyFill="1" applyBorder="1" applyAlignment="1">
      <alignment horizontal="center" vertical="center"/>
    </xf>
    <xf numFmtId="0" fontId="0" fillId="0" borderId="0" xfId="0" applyFill="1" applyBorder="1" applyAlignment="1">
      <alignment horizontal="center" vertical="center"/>
    </xf>
    <xf numFmtId="0" fontId="16" fillId="0" borderId="0" xfId="0" applyFont="1" applyFill="1" applyBorder="1" applyAlignment="1">
      <alignment horizontal="center" vertical="center"/>
    </xf>
    <xf numFmtId="0" fontId="10" fillId="3" borderId="30" xfId="0" applyFont="1" applyFill="1" applyBorder="1" applyAlignment="1">
      <alignment horizontal="center" vertical="center"/>
    </xf>
    <xf numFmtId="0" fontId="15" fillId="12" borderId="27" xfId="0" applyFont="1" applyFill="1" applyBorder="1" applyAlignment="1">
      <alignment horizontal="center" vertical="center"/>
    </xf>
    <xf numFmtId="14" fontId="5" fillId="13" borderId="30" xfId="0" applyNumberFormat="1" applyFont="1" applyFill="1" applyBorder="1" applyAlignment="1">
      <alignment horizontal="left" vertical="center"/>
    </xf>
    <xf numFmtId="14" fontId="5" fillId="13" borderId="31" xfId="0" applyNumberFormat="1" applyFont="1" applyFill="1" applyBorder="1" applyAlignment="1">
      <alignment horizontal="left" vertical="center"/>
    </xf>
    <xf numFmtId="14" fontId="5" fillId="13" borderId="32" xfId="0" applyNumberFormat="1" applyFont="1" applyFill="1" applyBorder="1" applyAlignment="1">
      <alignment horizontal="left" vertical="center"/>
    </xf>
    <xf numFmtId="0" fontId="25" fillId="14" borderId="26" xfId="0" applyFont="1" applyFill="1" applyBorder="1" applyAlignment="1">
      <alignment horizontal="center" vertical="center" wrapText="1"/>
    </xf>
    <xf numFmtId="0" fontId="25" fillId="14" borderId="0" xfId="0" applyFont="1" applyFill="1" applyBorder="1" applyAlignment="1">
      <alignment horizontal="center" vertical="center" wrapText="1"/>
    </xf>
    <xf numFmtId="0" fontId="25" fillId="14" borderId="33" xfId="0" applyFont="1" applyFill="1" applyBorder="1" applyAlignment="1">
      <alignment horizontal="center" vertical="center" wrapText="1"/>
    </xf>
    <xf numFmtId="0" fontId="25" fillId="14" borderId="34" xfId="0" applyFont="1" applyFill="1" applyBorder="1" applyAlignment="1">
      <alignment horizontal="center" vertical="center" wrapText="1"/>
    </xf>
    <xf numFmtId="0" fontId="25" fillId="14" borderId="35" xfId="0" applyFont="1" applyFill="1" applyBorder="1" applyAlignment="1">
      <alignment horizontal="center" vertical="center" wrapText="1"/>
    </xf>
    <xf numFmtId="0" fontId="25" fillId="14" borderId="36" xfId="0" applyFont="1" applyFill="1" applyBorder="1" applyAlignment="1">
      <alignment horizontal="center" vertical="center" wrapText="1"/>
    </xf>
  </cellXfs>
  <cellStyles count="2">
    <cellStyle name="Normal" xfId="0" builtinId="0"/>
    <cellStyle name="Percent" xfId="1" builtinId="5"/>
  </cellStyles>
  <dxfs count="192">
    <dxf>
      <fill>
        <patternFill>
          <bgColor rgb="FFF2F2F2"/>
        </patternFill>
      </fill>
    </dxf>
    <dxf>
      <font>
        <sz val="10"/>
        <name val="Arial"/>
        <family val="2"/>
        <scheme val="none"/>
      </font>
      <fill>
        <patternFill>
          <bgColor theme="4" tint="-0.499984740745262"/>
        </patternFill>
      </fill>
    </dxf>
    <dxf>
      <font>
        <b/>
        <i val="0"/>
        <sz val="10"/>
        <color theme="0"/>
        <name val="Arial"/>
        <family val="2"/>
        <scheme val="none"/>
      </font>
      <fill>
        <patternFill>
          <bgColor theme="4" tint="-0.499984740745262"/>
        </patternFill>
      </fill>
    </dxf>
    <dxf>
      <font>
        <color rgb="FF006100"/>
      </font>
      <fill>
        <patternFill>
          <bgColor rgb="FFC6EFCE"/>
        </patternFill>
      </fill>
    </dxf>
    <dxf>
      <font>
        <color rgb="FF9C0006"/>
      </font>
      <fill>
        <patternFill>
          <bgColor rgb="FFFFC7CE"/>
        </patternFill>
      </fill>
    </dxf>
    <dxf>
      <fill>
        <patternFill>
          <bgColor rgb="FFFFE4E4"/>
        </patternFill>
      </fill>
    </dxf>
    <dxf>
      <font>
        <b val="0"/>
        <i val="0"/>
      </font>
      <fill>
        <patternFill>
          <bgColor rgb="FFE4FFE9"/>
        </patternFill>
      </fill>
    </dxf>
    <dxf>
      <fill>
        <patternFill>
          <bgColor rgb="FFFFE4E4"/>
        </patternFill>
      </fill>
    </dxf>
    <dxf>
      <font>
        <b val="0"/>
        <i val="0"/>
      </font>
      <fill>
        <patternFill>
          <bgColor rgb="FFE4FFE9"/>
        </patternFill>
      </fill>
    </dxf>
    <dxf>
      <fill>
        <patternFill>
          <bgColor rgb="FFFFE6CC"/>
        </patternFill>
      </fill>
    </dxf>
    <dxf>
      <fill>
        <patternFill>
          <bgColor rgb="FFE4FFE9"/>
        </patternFill>
      </fill>
    </dxf>
    <dxf>
      <fill>
        <patternFill>
          <bgColor rgb="FFFFE4E4"/>
        </patternFill>
      </fill>
    </dxf>
    <dxf>
      <font>
        <b/>
        <color theme="0"/>
      </font>
      <fill>
        <patternFill patternType="solid">
          <fgColor indexed="64"/>
          <bgColor theme="4" tint="-0.499984740745262"/>
        </patternFill>
      </fill>
    </dxf>
    <dxf>
      <font>
        <b/>
        <color theme="0"/>
      </font>
      <fill>
        <patternFill patternType="solid">
          <fgColor indexed="64"/>
          <bgColor theme="4" tint="-0.499984740745262"/>
        </patternFill>
      </fill>
    </dxf>
    <dxf>
      <font>
        <b/>
        <color theme="0"/>
      </font>
      <fill>
        <patternFill patternType="solid">
          <fgColor indexed="64"/>
          <bgColor theme="4" tint="-0.499984740745262"/>
        </patternFill>
      </fill>
    </dxf>
    <dxf>
      <font>
        <b/>
        <color theme="0"/>
      </font>
      <fill>
        <patternFill patternType="solid">
          <fgColor indexed="64"/>
          <bgColor theme="4" tint="-0.499984740745262"/>
        </patternFill>
      </fill>
    </dxf>
    <dxf>
      <font>
        <b/>
        <color theme="0"/>
      </font>
      <fill>
        <patternFill patternType="solid">
          <fgColor indexed="64"/>
          <bgColor theme="4" tint="-0.499984740745262"/>
        </patternFill>
      </fill>
    </dxf>
    <dxf>
      <font>
        <b/>
        <color theme="0"/>
      </font>
      <fill>
        <patternFill patternType="solid">
          <fgColor indexed="64"/>
          <bgColor theme="4" tint="-0.499984740745262"/>
        </patternFill>
      </fill>
    </dxf>
    <dxf>
      <font>
        <b/>
        <color theme="0"/>
      </font>
      <fill>
        <patternFill patternType="solid">
          <fgColor indexed="64"/>
          <bgColor theme="4" tint="-0.499984740745262"/>
        </patternFill>
      </fill>
    </dxf>
    <dxf>
      <font>
        <b/>
        <color theme="0"/>
      </font>
      <fill>
        <patternFill patternType="solid">
          <fgColor indexed="64"/>
          <bgColor theme="4" tint="-0.499984740745262"/>
        </patternFill>
      </fill>
    </dxf>
    <dxf>
      <border>
        <left/>
        <right/>
        <top/>
        <bottom/>
        <vertic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numFmt numFmtId="164" formatCode="0.0"/>
    </dxf>
    <dxf>
      <numFmt numFmtId="164" formatCode="0.0"/>
    </dxf>
    <dxf>
      <numFmt numFmtId="164" formatCode="0.0"/>
    </dxf>
    <dxf>
      <font>
        <b/>
        <color theme="0"/>
      </font>
      <fill>
        <patternFill patternType="solid">
          <fgColor indexed="64"/>
          <bgColor theme="4" tint="-0.499984740745262"/>
        </patternFill>
      </fill>
    </dxf>
    <dxf>
      <font>
        <b/>
        <color theme="0"/>
      </font>
      <fill>
        <patternFill patternType="solid">
          <fgColor indexed="64"/>
          <bgColor theme="4" tint="-0.499984740745262"/>
        </patternFill>
      </fill>
    </dxf>
    <dxf>
      <font>
        <b/>
        <color theme="0"/>
      </font>
      <fill>
        <patternFill patternType="solid">
          <fgColor indexed="64"/>
          <bgColor theme="4" tint="-0.499984740745262"/>
        </patternFill>
      </fill>
    </dxf>
    <dxf>
      <font>
        <b/>
        <color theme="0"/>
      </font>
      <fill>
        <patternFill patternType="solid">
          <fgColor indexed="64"/>
          <bgColor theme="4" tint="-0.49998474074526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theme="0" tint="-0.24994659260841701"/>
        </left>
        <top style="thin">
          <color theme="0" tint="-0.24994659260841701"/>
        </top>
        <bottom style="thin">
          <color theme="0" tint="-0.24994659260841701"/>
        </bottom>
        <vertical style="thin">
          <color theme="0" tint="-0.24994659260841701"/>
        </vertical>
        <horizontal style="thin">
          <color theme="0" tint="-0.24994659260841701"/>
        </horizontal>
      </border>
    </dxf>
    <dxf>
      <border>
        <left style="thin">
          <color theme="0" tint="-0.24994659260841701"/>
        </left>
        <top style="thin">
          <color theme="0" tint="-0.24994659260841701"/>
        </top>
        <bottom style="thin">
          <color theme="0" tint="-0.24994659260841701"/>
        </bottom>
        <vertical style="thin">
          <color theme="0" tint="-0.24994659260841701"/>
        </vertical>
        <horizontal style="thin">
          <color theme="0" tint="-0.24994659260841701"/>
        </horizontal>
      </border>
    </dxf>
    <dxf>
      <border>
        <left style="thin">
          <color theme="0" tint="-0.24994659260841701"/>
        </left>
        <top style="thin">
          <color theme="0" tint="-0.24994659260841701"/>
        </top>
        <bottom style="thin">
          <color theme="0" tint="-0.24994659260841701"/>
        </bottom>
        <vertical style="thin">
          <color theme="0" tint="-0.24994659260841701"/>
        </vertical>
        <horizontal style="thin">
          <color theme="0" tint="-0.24994659260841701"/>
        </horizontal>
      </border>
    </dxf>
    <dxf>
      <border>
        <left style="thin">
          <color theme="0" tint="-0.24994659260841701"/>
        </left>
        <top style="thin">
          <color theme="0" tint="-0.24994659260841701"/>
        </top>
        <bottom style="thin">
          <color theme="0" tint="-0.24994659260841701"/>
        </bottom>
        <vertical style="thin">
          <color theme="0" tint="-0.24994659260841701"/>
        </vertical>
        <horizontal style="thin">
          <color theme="0" tint="-0.24994659260841701"/>
        </horizontal>
      </border>
    </dxf>
    <dxf>
      <border>
        <left style="thin">
          <color theme="0" tint="-0.24994659260841701"/>
        </left>
        <top style="thin">
          <color theme="0" tint="-0.24994659260841701"/>
        </top>
        <bottom style="thin">
          <color theme="0" tint="-0.24994659260841701"/>
        </bottom>
        <vertical style="thin">
          <color theme="0" tint="-0.24994659260841701"/>
        </vertical>
        <horizontal style="thin">
          <color theme="0" tint="-0.24994659260841701"/>
        </horizontal>
      </border>
    </dxf>
    <dxf>
      <border>
        <left style="thin">
          <color theme="0" tint="-0.24994659260841701"/>
        </left>
        <top style="thin">
          <color theme="0" tint="-0.24994659260841701"/>
        </top>
        <bottom style="thin">
          <color theme="0" tint="-0.24994659260841701"/>
        </bottom>
        <vertical style="thin">
          <color theme="0" tint="-0.24994659260841701"/>
        </vertical>
        <horizontal style="thin">
          <color theme="0" tint="-0.24994659260841701"/>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sz val="10"/>
        <color theme="0"/>
        <name val="Arial"/>
        <scheme val="none"/>
      </font>
      <fill>
        <patternFill patternType="solid">
          <fgColor indexed="64"/>
          <bgColor theme="4" tint="-0.499984740745262"/>
        </patternFill>
      </fill>
      <alignment horizontal="center" vertical="center"/>
    </dxf>
    <dxf>
      <font>
        <b/>
        <sz val="10"/>
        <color theme="0"/>
        <name val="Arial"/>
        <scheme val="none"/>
      </font>
      <fill>
        <patternFill patternType="solid">
          <fgColor indexed="64"/>
          <bgColor theme="4" tint="-0.499984740745262"/>
        </patternFill>
      </fill>
      <alignment horizontal="center" vertical="center"/>
    </dxf>
    <dxf>
      <font>
        <b/>
        <color theme="0"/>
      </font>
      <fill>
        <patternFill patternType="solid">
          <fgColor indexed="64"/>
          <bgColor theme="4" tint="-0.499984740745262"/>
        </patternFill>
      </fill>
    </dxf>
    <dxf>
      <font>
        <b/>
        <color theme="0"/>
      </font>
      <fill>
        <patternFill patternType="solid">
          <fgColor indexed="64"/>
          <bgColor theme="4" tint="-0.499984740745262"/>
        </patternFill>
      </fill>
    </dxf>
    <dxf>
      <font>
        <b/>
        <sz val="10"/>
        <color theme="0"/>
        <name val="Arial"/>
        <scheme val="none"/>
      </font>
      <fill>
        <patternFill patternType="solid">
          <fgColor indexed="64"/>
          <bgColor theme="4" tint="-0.499984740745262"/>
        </patternFill>
      </fill>
      <alignment horizontal="center" vertical="center"/>
    </dxf>
    <dxf>
      <font>
        <b/>
        <sz val="10"/>
        <color theme="0"/>
        <name val="Arial"/>
        <scheme val="none"/>
      </font>
      <fill>
        <patternFill patternType="solid">
          <fgColor indexed="64"/>
          <bgColor theme="4" tint="-0.499984740745262"/>
        </patternFill>
      </fill>
      <alignment horizontal="center" vertical="center"/>
    </dxf>
    <dxf>
      <border>
        <right style="thin">
          <color theme="0" tint="-0.24994659260841701"/>
        </right>
        <top style="thin">
          <color theme="0" tint="-0.24994659260841701"/>
        </top>
        <bottom style="thin">
          <color theme="0" tint="-0.24994659260841701"/>
        </bottom>
        <vertical style="thin">
          <color theme="0" tint="-0.34998626667073579"/>
        </vertical>
        <horizontal style="thin">
          <color theme="0" tint="-0.34998626667073579"/>
        </horizontal>
      </border>
    </dxf>
    <dxf>
      <border>
        <right style="thin">
          <color theme="0" tint="-0.24994659260841701"/>
        </right>
        <top style="thin">
          <color theme="0" tint="-0.24994659260841701"/>
        </top>
        <bottom style="thin">
          <color theme="0" tint="-0.24994659260841701"/>
        </bottom>
        <vertical style="thin">
          <color theme="0" tint="-0.34998626667073579"/>
        </vertical>
        <horizontal style="thin">
          <color theme="0" tint="-0.34998626667073579"/>
        </horizontal>
      </border>
    </dxf>
    <dxf>
      <border>
        <right style="thin">
          <color theme="0" tint="-0.24994659260841701"/>
        </right>
        <top style="thin">
          <color theme="0" tint="-0.24994659260841701"/>
        </top>
        <bottom style="thin">
          <color theme="0" tint="-0.24994659260841701"/>
        </bottom>
        <vertical style="thin">
          <color theme="0" tint="-0.34998626667073579"/>
        </vertical>
        <horizontal style="thin">
          <color theme="0" tint="-0.34998626667073579"/>
        </horizontal>
      </border>
    </dxf>
    <dxf>
      <border>
        <right style="thin">
          <color theme="0" tint="-0.24994659260841701"/>
        </right>
        <top style="thin">
          <color theme="0" tint="-0.24994659260841701"/>
        </top>
        <bottom style="thin">
          <color theme="0" tint="-0.24994659260841701"/>
        </bottom>
        <vertical style="thin">
          <color theme="0" tint="-0.34998626667073579"/>
        </vertical>
        <horizontal style="thin">
          <color theme="0" tint="-0.34998626667073579"/>
        </horizontal>
      </border>
    </dxf>
    <dxf>
      <font>
        <sz val="10"/>
      </font>
    </dxf>
    <dxf>
      <font>
        <sz val="10"/>
      </font>
    </dxf>
    <dxf>
      <font>
        <sz val="10"/>
      </font>
    </dxf>
    <dxf>
      <font>
        <sz val="10"/>
      </font>
    </dxf>
    <dxf>
      <font>
        <sz val="10"/>
      </font>
    </dxf>
    <dxf>
      <font>
        <sz val="1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border>
        <left style="thin">
          <color theme="0" tint="-0.24994659260841701"/>
        </left>
        <right style="thin">
          <color theme="0" tint="-0.24994659260841701"/>
        </right>
        <bottom style="thin">
          <color theme="0" tint="-0.24994659260841701"/>
        </bottom>
      </border>
    </dxf>
    <dxf>
      <border>
        <left style="thin">
          <color theme="0" tint="-0.24994659260841701"/>
        </left>
        <right style="thin">
          <color theme="0" tint="-0.24994659260841701"/>
        </right>
        <bottom style="thin">
          <color theme="0" tint="-0.24994659260841701"/>
        </bottom>
      </border>
    </dxf>
    <dxf>
      <font>
        <b/>
      </font>
    </dxf>
    <dxf>
      <font>
        <b/>
      </font>
    </dxf>
    <dxf>
      <font>
        <b/>
      </font>
    </dxf>
    <dxf>
      <font>
        <b/>
      </font>
    </dxf>
    <dxf>
      <font>
        <color theme="0"/>
      </font>
    </dxf>
    <dxf>
      <font>
        <color theme="0"/>
      </font>
    </dxf>
    <dxf>
      <fill>
        <patternFill patternType="solid">
          <bgColor theme="4" tint="-0.499984740745262"/>
        </patternFill>
      </fill>
    </dxf>
    <dxf>
      <fill>
        <patternFill patternType="solid">
          <bgColor theme="4" tint="-0.49998474074526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ont>
        <sz val="10"/>
        <name val="Arial"/>
        <scheme val="none"/>
      </font>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sz val="10"/>
        <name val="Arial"/>
        <scheme val="none"/>
      </font>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sz val="10"/>
        <name val="Arial"/>
        <scheme val="none"/>
      </font>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sz val="10"/>
        <name val="Arial"/>
        <scheme val="none"/>
      </font>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s>
  <tableStyles count="1" defaultTableStyle="TableStyleMedium9" defaultPivotStyle="PivotStyleLight16">
    <tableStyle name="Slicer Style 1" pivot="0" table="0" count="4" xr9:uid="{E45F6609-4060-4601-A2BA-9B2F983C1D5E}">
      <tableStyleElement type="wholeTable" dxfId="1"/>
      <tableStyleElement type="headerRow" dxfId="2"/>
    </tableStyle>
  </tableStyles>
  <colors>
    <mruColors>
      <color rgb="FFFEF9E7"/>
      <color rgb="FFFDF2E9"/>
      <color rgb="FFEAFAF1"/>
      <color rgb="FFEBF5FB"/>
      <color rgb="FF1F3B60"/>
      <color rgb="FF0A7B7B"/>
      <color rgb="FF008080"/>
      <color rgb="FFE4FFE9"/>
      <color rgb="FFFFE4E4"/>
      <color rgb="FFFFE6CC"/>
    </mruColors>
  </colors>
  <extLst>
    <ext xmlns:x14="http://schemas.microsoft.com/office/spreadsheetml/2009/9/main" uri="{46F421CA-312F-682f-3DD2-61675219B42D}">
      <x14:dxfs count="2">
        <dxf>
          <font>
            <sz val="10"/>
            <color theme="1"/>
            <name val="Arial"/>
            <family val="2"/>
            <scheme val="none"/>
          </font>
          <fill>
            <patternFill>
              <bgColor theme="4" tint="0.79998168889431442"/>
            </patternFill>
          </fill>
        </dxf>
        <dxf>
          <font>
            <sz val="10"/>
            <color theme="1"/>
            <name val="Arial"/>
            <family val="2"/>
            <scheme val="none"/>
          </font>
          <fill>
            <patternFill>
              <fgColor theme="4" tint="0.39991454817346722"/>
              <bgColor theme="4"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33</xdr:row>
      <xdr:rowOff>22861</xdr:rowOff>
    </xdr:from>
    <xdr:to>
      <xdr:col>2</xdr:col>
      <xdr:colOff>754380</xdr:colOff>
      <xdr:row>38</xdr:row>
      <xdr:rowOff>7621</xdr:rowOff>
    </xdr:to>
    <mc:AlternateContent xmlns:mc="http://schemas.openxmlformats.org/markup-compatibility/2006">
      <mc:Choice xmlns:a14="http://schemas.microsoft.com/office/drawing/2010/main" Requires="a14">
        <xdr:graphicFrame macro="">
          <xdr:nvGraphicFramePr>
            <xdr:cNvPr id="2" name="Filter by Week">
              <a:extLst>
                <a:ext uri="{FF2B5EF4-FFF2-40B4-BE49-F238E27FC236}">
                  <a16:creationId xmlns:a16="http://schemas.microsoft.com/office/drawing/2014/main" id="{FC2C1285-C833-48D4-850D-2A418ABED833}"/>
                </a:ext>
              </a:extLst>
            </xdr:cNvPr>
            <xdr:cNvGraphicFramePr/>
          </xdr:nvGraphicFramePr>
          <xdr:xfrm>
            <a:off x="0" y="0"/>
            <a:ext cx="0" cy="0"/>
          </xdr:xfrm>
          <a:graphic>
            <a:graphicData uri="http://schemas.microsoft.com/office/drawing/2010/slicer">
              <sle:slicer xmlns:sle="http://schemas.microsoft.com/office/drawing/2010/slicer" name="Filter by Week"/>
            </a:graphicData>
          </a:graphic>
        </xdr:graphicFrame>
      </mc:Choice>
      <mc:Fallback>
        <xdr:sp macro="" textlink="">
          <xdr:nvSpPr>
            <xdr:cNvPr id="0" name=""/>
            <xdr:cNvSpPr>
              <a:spLocks noTextEdit="1"/>
            </xdr:cNvSpPr>
          </xdr:nvSpPr>
          <xdr:spPr>
            <a:xfrm>
              <a:off x="198120" y="7002781"/>
              <a:ext cx="21717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pesh Hule" refreshedDate="46247.785383564813" createdVersion="8" refreshedVersion="8" minRefreshableVersion="3" recordCount="200" xr:uid="{8DE382AC-8981-4A16-B0F6-2D587097745E}">
  <cacheSource type="worksheet">
    <worksheetSource ref="A1:I1048576" sheet="REFINED_DATA"/>
  </cacheSource>
  <cacheFields count="9">
    <cacheField name="Audit_ID" numFmtId="0">
      <sharedItems containsBlank="1"/>
    </cacheField>
    <cacheField name="Week_Ending" numFmtId="14">
      <sharedItems containsBlank="1" count="5">
        <s v="07-Jun-26"/>
        <s v="14-Jun-26"/>
        <s v="21-Jun-26"/>
        <s v="28-Jun-26"/>
        <m/>
      </sharedItems>
    </cacheField>
    <cacheField name="Analyst_Name" numFmtId="0">
      <sharedItems containsBlank="1" count="6">
        <s v="Priya Sharma"/>
        <s v="Rohan Mehta"/>
        <s v="Sneha Patil"/>
        <s v="Karan Joshi"/>
        <s v="Meera Nair"/>
        <m/>
      </sharedItems>
    </cacheField>
    <cacheField name="Process_Type" numFmtId="0">
      <sharedItems containsBlank="1" count="5">
        <s v="Personal Loan"/>
        <s v="Home Loan"/>
        <s v="MSME Loan"/>
        <s v="Gold Loan"/>
        <m/>
      </sharedItems>
    </cacheField>
    <cacheField name="Is_Correct" numFmtId="1">
      <sharedItems containsString="0" containsBlank="1" containsNumber="1" containsInteger="1" minValue="0" maxValue="1"/>
    </cacheField>
    <cacheField name="Accuracy_Flag" numFmtId="0">
      <sharedItems containsBlank="1"/>
    </cacheField>
    <cacheField name="Error_Category" numFmtId="0">
      <sharedItems containsBlank="1" count="7">
        <s v=""/>
        <s v="Document Error"/>
        <s v="Calculation Error"/>
        <s v="Policy Mismatch"/>
        <s v="Compliance Error"/>
        <s v="Data Entry Error"/>
        <m/>
      </sharedItems>
    </cacheField>
    <cacheField name="AHT_Minutes" numFmtId="164">
      <sharedItems containsString="0" containsBlank="1" containsNumber="1" minValue="5.2" maxValue="12.5"/>
    </cacheField>
    <cacheField name="SLA_Met" numFmtId="0">
      <sharedItems containsBlank="1" count="3">
        <s v="Met"/>
        <s v="Breached"/>
        <m/>
      </sharedItems>
    </cacheField>
  </cacheFields>
  <extLst>
    <ext xmlns:x14="http://schemas.microsoft.com/office/spreadsheetml/2009/9/main" uri="{725AE2AE-9491-48be-B2B4-4EB974FC3084}">
      <x14:pivotCacheDefinition pivotCacheId="1209808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AUD-001"/>
    <x v="0"/>
    <x v="0"/>
    <x v="0"/>
    <n v="1"/>
    <s v="Correct"/>
    <x v="0"/>
    <n v="6.5"/>
    <x v="0"/>
  </r>
  <r>
    <s v="AUD-002"/>
    <x v="0"/>
    <x v="1"/>
    <x v="1"/>
    <n v="1"/>
    <s v="Correct"/>
    <x v="0"/>
    <n v="9.1999999999999993"/>
    <x v="1"/>
  </r>
  <r>
    <s v="AUD-003"/>
    <x v="0"/>
    <x v="2"/>
    <x v="2"/>
    <n v="0"/>
    <s v="Error"/>
    <x v="1"/>
    <n v="7.8"/>
    <x v="0"/>
  </r>
  <r>
    <s v="AUD-004"/>
    <x v="0"/>
    <x v="3"/>
    <x v="3"/>
    <n v="1"/>
    <s v="Correct"/>
    <x v="0"/>
    <n v="7.5"/>
    <x v="0"/>
  </r>
  <r>
    <s v="AUD-005"/>
    <x v="0"/>
    <x v="4"/>
    <x v="0"/>
    <n v="1"/>
    <s v="Correct"/>
    <x v="0"/>
    <n v="7.2"/>
    <x v="0"/>
  </r>
  <r>
    <s v="AUD-006"/>
    <x v="0"/>
    <x v="0"/>
    <x v="0"/>
    <n v="0"/>
    <s v="Error"/>
    <x v="2"/>
    <n v="8.5"/>
    <x v="1"/>
  </r>
  <r>
    <s v="AUD-007"/>
    <x v="0"/>
    <x v="1"/>
    <x v="0"/>
    <n v="1"/>
    <s v="Correct"/>
    <x v="0"/>
    <n v="6"/>
    <x v="0"/>
  </r>
  <r>
    <s v="AUD-008"/>
    <x v="0"/>
    <x v="2"/>
    <x v="1"/>
    <n v="1"/>
    <s v="Correct"/>
    <x v="0"/>
    <n v="7.3"/>
    <x v="0"/>
  </r>
  <r>
    <s v="AUD-009"/>
    <x v="0"/>
    <x v="3"/>
    <x v="2"/>
    <n v="1"/>
    <s v="Correct"/>
    <x v="0"/>
    <n v="6.8"/>
    <x v="0"/>
  </r>
  <r>
    <s v="AUD-010"/>
    <x v="0"/>
    <x v="4"/>
    <x v="0"/>
    <n v="0"/>
    <s v="Error"/>
    <x v="3"/>
    <n v="6.2"/>
    <x v="0"/>
  </r>
  <r>
    <s v="AUD-011"/>
    <x v="1"/>
    <x v="0"/>
    <x v="1"/>
    <n v="1"/>
    <s v="Correct"/>
    <x v="0"/>
    <n v="6.3"/>
    <x v="0"/>
  </r>
  <r>
    <s v="AUD-012"/>
    <x v="1"/>
    <x v="1"/>
    <x v="2"/>
    <n v="1"/>
    <s v="Correct"/>
    <x v="0"/>
    <n v="7"/>
    <x v="0"/>
  </r>
  <r>
    <s v="AUD-013"/>
    <x v="1"/>
    <x v="2"/>
    <x v="0"/>
    <n v="0"/>
    <s v="Error"/>
    <x v="1"/>
    <n v="6.5"/>
    <x v="0"/>
  </r>
  <r>
    <s v="AUD-014"/>
    <x v="1"/>
    <x v="3"/>
    <x v="3"/>
    <n v="1"/>
    <s v="Correct"/>
    <x v="0"/>
    <n v="10.199999999999999"/>
    <x v="1"/>
  </r>
  <r>
    <s v="AUD-015"/>
    <x v="1"/>
    <x v="4"/>
    <x v="1"/>
    <n v="1"/>
    <s v="Correct"/>
    <x v="0"/>
    <n v="7.6"/>
    <x v="0"/>
  </r>
  <r>
    <s v="AUD-016"/>
    <x v="1"/>
    <x v="0"/>
    <x v="0"/>
    <n v="1"/>
    <s v="Correct"/>
    <x v="0"/>
    <n v="6.5"/>
    <x v="0"/>
  </r>
  <r>
    <s v="AUD-017"/>
    <x v="1"/>
    <x v="1"/>
    <x v="3"/>
    <n v="0"/>
    <s v="Error"/>
    <x v="2"/>
    <n v="7.3"/>
    <x v="0"/>
  </r>
  <r>
    <s v="AUD-018"/>
    <x v="1"/>
    <x v="2"/>
    <x v="2"/>
    <n v="1"/>
    <s v="Correct"/>
    <x v="0"/>
    <n v="10.6"/>
    <x v="1"/>
  </r>
  <r>
    <s v="AUD-019"/>
    <x v="1"/>
    <x v="3"/>
    <x v="0"/>
    <n v="1"/>
    <s v="Correct"/>
    <x v="0"/>
    <n v="6.8"/>
    <x v="0"/>
  </r>
  <r>
    <s v="AUD-020"/>
    <x v="1"/>
    <x v="4"/>
    <x v="3"/>
    <n v="1"/>
    <s v="Correct"/>
    <x v="0"/>
    <n v="8.1999999999999993"/>
    <x v="1"/>
  </r>
  <r>
    <s v="AUD-021"/>
    <x v="2"/>
    <x v="0"/>
    <x v="2"/>
    <n v="1"/>
    <s v="Correct"/>
    <x v="0"/>
    <n v="5.8"/>
    <x v="0"/>
  </r>
  <r>
    <s v="AUD-022"/>
    <x v="2"/>
    <x v="1"/>
    <x v="1"/>
    <n v="1"/>
    <s v="Correct"/>
    <x v="0"/>
    <n v="6"/>
    <x v="0"/>
  </r>
  <r>
    <s v="AUD-023"/>
    <x v="2"/>
    <x v="2"/>
    <x v="3"/>
    <n v="0"/>
    <s v="Error"/>
    <x v="4"/>
    <n v="7.1"/>
    <x v="0"/>
  </r>
  <r>
    <s v="AUD-024"/>
    <x v="2"/>
    <x v="3"/>
    <x v="0"/>
    <n v="0"/>
    <s v="Error"/>
    <x v="1"/>
    <n v="9.1999999999999993"/>
    <x v="1"/>
  </r>
  <r>
    <s v="AUD-025"/>
    <x v="2"/>
    <x v="4"/>
    <x v="2"/>
    <n v="1"/>
    <s v="Correct"/>
    <x v="0"/>
    <n v="6"/>
    <x v="0"/>
  </r>
  <r>
    <s v="AUD-026"/>
    <x v="2"/>
    <x v="0"/>
    <x v="1"/>
    <n v="1"/>
    <s v="Correct"/>
    <x v="0"/>
    <n v="7.5"/>
    <x v="0"/>
  </r>
  <r>
    <s v="AUD-027"/>
    <x v="2"/>
    <x v="1"/>
    <x v="0"/>
    <n v="1"/>
    <s v="Correct"/>
    <x v="0"/>
    <n v="6.5"/>
    <x v="0"/>
  </r>
  <r>
    <s v="AUD-028"/>
    <x v="2"/>
    <x v="2"/>
    <x v="3"/>
    <n v="0"/>
    <s v="Error"/>
    <x v="5"/>
    <n v="9.5"/>
    <x v="1"/>
  </r>
  <r>
    <s v="AUD-029"/>
    <x v="2"/>
    <x v="3"/>
    <x v="1"/>
    <n v="1"/>
    <s v="Correct"/>
    <x v="0"/>
    <n v="7.8"/>
    <x v="0"/>
  </r>
  <r>
    <s v="AUD-030"/>
    <x v="2"/>
    <x v="4"/>
    <x v="0"/>
    <n v="0"/>
    <s v="Error"/>
    <x v="2"/>
    <n v="10.199999999999999"/>
    <x v="1"/>
  </r>
  <r>
    <s v="AUD-031"/>
    <x v="2"/>
    <x v="0"/>
    <x v="3"/>
    <n v="1"/>
    <s v="Correct"/>
    <x v="0"/>
    <n v="7.5"/>
    <x v="0"/>
  </r>
  <r>
    <s v="AUD-032"/>
    <x v="2"/>
    <x v="1"/>
    <x v="2"/>
    <n v="1"/>
    <s v="Correct"/>
    <x v="0"/>
    <n v="5.2"/>
    <x v="0"/>
  </r>
  <r>
    <s v="AUD-033"/>
    <x v="2"/>
    <x v="2"/>
    <x v="0"/>
    <n v="1"/>
    <s v="Correct"/>
    <x v="0"/>
    <n v="6.3"/>
    <x v="0"/>
  </r>
  <r>
    <s v="AUD-034"/>
    <x v="2"/>
    <x v="3"/>
    <x v="1"/>
    <n v="1"/>
    <s v="Correct"/>
    <x v="0"/>
    <n v="10.5"/>
    <x v="1"/>
  </r>
  <r>
    <s v="AUD-035"/>
    <x v="2"/>
    <x v="0"/>
    <x v="0"/>
    <n v="1"/>
    <s v="Correct"/>
    <x v="0"/>
    <n v="7.3"/>
    <x v="0"/>
  </r>
  <r>
    <s v="AUD-036"/>
    <x v="2"/>
    <x v="4"/>
    <x v="3"/>
    <n v="1"/>
    <s v="Correct"/>
    <x v="0"/>
    <n v="6.7"/>
    <x v="0"/>
  </r>
  <r>
    <s v="AUD-037"/>
    <x v="3"/>
    <x v="0"/>
    <x v="1"/>
    <n v="0"/>
    <s v="Error"/>
    <x v="3"/>
    <n v="7.6"/>
    <x v="0"/>
  </r>
  <r>
    <s v="AUD-038"/>
    <x v="3"/>
    <x v="1"/>
    <x v="0"/>
    <n v="1"/>
    <s v="Correct"/>
    <x v="0"/>
    <n v="8.5"/>
    <x v="1"/>
  </r>
  <r>
    <s v="AUD-039"/>
    <x v="3"/>
    <x v="2"/>
    <x v="2"/>
    <n v="1"/>
    <s v="Correct"/>
    <x v="0"/>
    <n v="11"/>
    <x v="1"/>
  </r>
  <r>
    <s v="AUD-040"/>
    <x v="3"/>
    <x v="3"/>
    <x v="3"/>
    <n v="1"/>
    <s v="Correct"/>
    <x v="0"/>
    <n v="11.2"/>
    <x v="1"/>
  </r>
  <r>
    <s v="AUD-041"/>
    <x v="3"/>
    <x v="4"/>
    <x v="0"/>
    <n v="1"/>
    <s v="Correct"/>
    <x v="0"/>
    <n v="7"/>
    <x v="0"/>
  </r>
  <r>
    <s v="AUD-042"/>
    <x v="3"/>
    <x v="0"/>
    <x v="2"/>
    <n v="1"/>
    <s v="Correct"/>
    <x v="0"/>
    <n v="5.2"/>
    <x v="0"/>
  </r>
  <r>
    <s v="AUD-043"/>
    <x v="3"/>
    <x v="1"/>
    <x v="1"/>
    <n v="1"/>
    <s v="Correct"/>
    <x v="0"/>
    <n v="6"/>
    <x v="0"/>
  </r>
  <r>
    <s v="AUD-044"/>
    <x v="3"/>
    <x v="2"/>
    <x v="3"/>
    <n v="1"/>
    <s v="Correct"/>
    <x v="0"/>
    <n v="7.5"/>
    <x v="0"/>
  </r>
  <r>
    <s v="AUD-045"/>
    <x v="3"/>
    <x v="3"/>
    <x v="0"/>
    <n v="1"/>
    <s v="Correct"/>
    <x v="0"/>
    <n v="6.8"/>
    <x v="0"/>
  </r>
  <r>
    <s v="AUD-046"/>
    <x v="3"/>
    <x v="4"/>
    <x v="1"/>
    <n v="1"/>
    <s v="Correct"/>
    <x v="0"/>
    <n v="6.6"/>
    <x v="0"/>
  </r>
  <r>
    <s v="AUD-047"/>
    <x v="3"/>
    <x v="0"/>
    <x v="3"/>
    <n v="1"/>
    <s v="Correct"/>
    <x v="0"/>
    <n v="6.5"/>
    <x v="0"/>
  </r>
  <r>
    <s v="AUD-048"/>
    <x v="3"/>
    <x v="1"/>
    <x v="2"/>
    <n v="1"/>
    <s v="Correct"/>
    <x v="0"/>
    <n v="7.8"/>
    <x v="0"/>
  </r>
  <r>
    <s v="AUD-049"/>
    <x v="3"/>
    <x v="2"/>
    <x v="1"/>
    <n v="1"/>
    <s v="Correct"/>
    <x v="0"/>
    <n v="6.5"/>
    <x v="0"/>
  </r>
  <r>
    <s v="AUD-050"/>
    <x v="3"/>
    <x v="3"/>
    <x v="0"/>
    <n v="1"/>
    <s v="Correct"/>
    <x v="0"/>
    <n v="7.5"/>
    <x v="0"/>
  </r>
  <r>
    <s v="AUD-051"/>
    <x v="3"/>
    <x v="2"/>
    <x v="1"/>
    <n v="1"/>
    <s v="Correct"/>
    <x v="0"/>
    <n v="8.5"/>
    <x v="0"/>
  </r>
  <r>
    <s v="AUD-052"/>
    <x v="3"/>
    <x v="2"/>
    <x v="1"/>
    <n v="1"/>
    <s v="Correct"/>
    <x v="0"/>
    <n v="9.5"/>
    <x v="0"/>
  </r>
  <r>
    <s v="AUD-053"/>
    <x v="3"/>
    <x v="2"/>
    <x v="1"/>
    <n v="1"/>
    <s v="Correct"/>
    <x v="0"/>
    <n v="10.5"/>
    <x v="0"/>
  </r>
  <r>
    <s v="AUD-054"/>
    <x v="3"/>
    <x v="4"/>
    <x v="0"/>
    <n v="1"/>
    <s v="Correct"/>
    <x v="0"/>
    <n v="11.5"/>
    <x v="0"/>
  </r>
  <r>
    <s v="AUD-055"/>
    <x v="3"/>
    <x v="4"/>
    <x v="0"/>
    <n v="1"/>
    <s v="Correct"/>
    <x v="0"/>
    <n v="12.5"/>
    <x v="0"/>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r>
    <m/>
    <x v="4"/>
    <x v="5"/>
    <x v="4"/>
    <m/>
    <m/>
    <x v="6"/>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B37C47-563C-4A59-B8ED-4E6C19691D1C}" name="PivotTable1" cacheId="1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9" firstHeaderRow="0" firstDataRow="1" firstDataCol="1" rowPageCount="1" colPageCount="1"/>
  <pivotFields count="9">
    <pivotField dataField="1" compact="0" outline="0" showAll="0"/>
    <pivotField axis="axisPage" compact="0" outline="0" multipleItemSelectionAllowed="1" showAll="0">
      <items count="6">
        <item x="0"/>
        <item x="1"/>
        <item x="2"/>
        <item x="3"/>
        <item x="4"/>
        <item t="default"/>
      </items>
    </pivotField>
    <pivotField axis="axisRow" compact="0" outline="0" showAll="0">
      <items count="7">
        <item x="3"/>
        <item x="4"/>
        <item x="0"/>
        <item x="1"/>
        <item x="2"/>
        <item h="1" x="5"/>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s>
  <rowFields count="1">
    <field x="2"/>
  </rowFields>
  <rowItems count="6">
    <i>
      <x/>
    </i>
    <i>
      <x v="1"/>
    </i>
    <i>
      <x v="2"/>
    </i>
    <i>
      <x v="3"/>
    </i>
    <i>
      <x v="4"/>
    </i>
    <i t="grand">
      <x/>
    </i>
  </rowItems>
  <colFields count="1">
    <field x="-2"/>
  </colFields>
  <colItems count="3">
    <i>
      <x/>
    </i>
    <i i="1">
      <x v="1"/>
    </i>
    <i i="2">
      <x v="2"/>
    </i>
  </colItems>
  <pageFields count="1">
    <pageField fld="1" hier="-1"/>
  </pageFields>
  <dataFields count="3">
    <dataField name="Total_Audits" fld="0" subtotal="count" baseField="2" baseItem="0"/>
    <dataField name="Correct_Decisions" fld="4" baseField="2" baseItem="0"/>
    <dataField name="Accuracy_Rate" fld="4" subtotal="average" baseField="2" baseItem="0" numFmtId="165"/>
  </dataFields>
  <formats count="46">
    <format dxfId="191">
      <pivotArea type="all" dataOnly="0" outline="0" fieldPosition="0"/>
    </format>
    <format dxfId="190">
      <pivotArea outline="0" collapsedLevelsAreSubtotals="1" fieldPosition="0"/>
    </format>
    <format dxfId="189">
      <pivotArea field="2" type="button" dataOnly="0" labelOnly="1" outline="0" axis="axisRow" fieldPosition="0"/>
    </format>
    <format dxfId="188">
      <pivotArea dataOnly="0" labelOnly="1" fieldPosition="0">
        <references count="1">
          <reference field="2" count="0"/>
        </references>
      </pivotArea>
    </format>
    <format dxfId="187">
      <pivotArea dataOnly="0" labelOnly="1" grandRow="1" outline="0" fieldPosition="0"/>
    </format>
    <format dxfId="186">
      <pivotArea dataOnly="0" labelOnly="1" outline="0" fieldPosition="0">
        <references count="1">
          <reference field="4294967294" count="3">
            <x v="0"/>
            <x v="1"/>
            <x v="2"/>
          </reference>
        </references>
      </pivotArea>
    </format>
    <format dxfId="185">
      <pivotArea type="all" dataOnly="0" outline="0" fieldPosition="0"/>
    </format>
    <format dxfId="184">
      <pivotArea outline="0" collapsedLevelsAreSubtotals="1" fieldPosition="0"/>
    </format>
    <format dxfId="183">
      <pivotArea field="2" type="button" dataOnly="0" labelOnly="1" outline="0" axis="axisRow" fieldPosition="0"/>
    </format>
    <format dxfId="182">
      <pivotArea dataOnly="0" labelOnly="1" fieldPosition="0">
        <references count="1">
          <reference field="2" count="0"/>
        </references>
      </pivotArea>
    </format>
    <format dxfId="181">
      <pivotArea dataOnly="0" labelOnly="1" grandRow="1" outline="0" fieldPosition="0"/>
    </format>
    <format dxfId="180">
      <pivotArea dataOnly="0" labelOnly="1" outline="0" fieldPosition="0">
        <references count="1">
          <reference field="4294967294" count="3">
            <x v="0"/>
            <x v="1"/>
            <x v="2"/>
          </reference>
        </references>
      </pivotArea>
    </format>
    <format dxfId="179">
      <pivotArea collapsedLevelsAreSubtotals="1" fieldPosition="0">
        <references count="1">
          <reference field="2" count="0"/>
        </references>
      </pivotArea>
    </format>
    <format dxfId="178">
      <pivotArea field="2" type="button" dataOnly="0" labelOnly="1" outline="0" axis="axisRow" fieldPosition="0"/>
    </format>
    <format dxfId="177">
      <pivotArea dataOnly="0" labelOnly="1" fieldPosition="0">
        <references count="1">
          <reference field="2" count="0"/>
        </references>
      </pivotArea>
    </format>
    <format dxfId="176">
      <pivotArea dataOnly="0" labelOnly="1" outline="0" fieldPosition="0">
        <references count="1">
          <reference field="4294967294" count="3">
            <x v="0"/>
            <x v="1"/>
            <x v="2"/>
          </reference>
        </references>
      </pivotArea>
    </format>
    <format dxfId="175">
      <pivotArea field="2" type="button" dataOnly="0" labelOnly="1" outline="0" axis="axisRow" fieldPosition="0"/>
    </format>
    <format dxfId="174">
      <pivotArea dataOnly="0" labelOnly="1" outline="0" fieldPosition="0">
        <references count="1">
          <reference field="4294967294" count="3">
            <x v="0"/>
            <x v="1"/>
            <x v="2"/>
          </reference>
        </references>
      </pivotArea>
    </format>
    <format dxfId="173">
      <pivotArea field="2" type="button" dataOnly="0" labelOnly="1" outline="0" axis="axisRow" fieldPosition="0"/>
    </format>
    <format dxfId="172">
      <pivotArea dataOnly="0" labelOnly="1" outline="0" fieldPosition="0">
        <references count="1">
          <reference field="4294967294" count="3">
            <x v="0"/>
            <x v="1"/>
            <x v="2"/>
          </reference>
        </references>
      </pivotArea>
    </format>
    <format dxfId="171">
      <pivotArea grandRow="1" outline="0" collapsedLevelsAreSubtotals="1" fieldPosition="0"/>
    </format>
    <format dxfId="170">
      <pivotArea dataOnly="0" labelOnly="1" grandRow="1" outline="0" fieldPosition="0"/>
    </format>
    <format dxfId="169">
      <pivotArea grandRow="1" outline="0" collapsedLevelsAreSubtotals="1" fieldPosition="0"/>
    </format>
    <format dxfId="168">
      <pivotArea dataOnly="0" labelOnly="1" grandRow="1" outline="0" fieldPosition="0"/>
    </format>
    <format dxfId="167">
      <pivotArea grandRow="1" outline="0" collapsedLevelsAreSubtotals="1" fieldPosition="0"/>
    </format>
    <format dxfId="166">
      <pivotArea dataOnly="0" labelOnly="1" grandRow="1" outline="0" fieldPosition="0"/>
    </format>
    <format dxfId="165">
      <pivotArea field="2" type="button" dataOnly="0" labelOnly="1" outline="0" axis="axisRow" fieldPosition="0"/>
    </format>
    <format dxfId="164">
      <pivotArea dataOnly="0" labelOnly="1" outline="0" fieldPosition="0">
        <references count="1">
          <reference field="4294967294" count="3">
            <x v="0"/>
            <x v="1"/>
            <x v="2"/>
          </reference>
        </references>
      </pivotArea>
    </format>
    <format dxfId="163">
      <pivotArea grandRow="1" outline="0" collapsedLevelsAreSubtotals="1" fieldPosition="0"/>
    </format>
    <format dxfId="162">
      <pivotArea dataOnly="0" labelOnly="1" grandRow="1" outline="0" fieldPosition="0"/>
    </format>
    <format dxfId="161">
      <pivotArea type="all" dataOnly="0" outline="0" fieldPosition="0"/>
    </format>
    <format dxfId="160">
      <pivotArea outline="0" collapsedLevelsAreSubtotals="1" fieldPosition="0"/>
    </format>
    <format dxfId="159">
      <pivotArea field="2" type="button" dataOnly="0" labelOnly="1" outline="0" axis="axisRow" fieldPosition="0"/>
    </format>
    <format dxfId="158">
      <pivotArea dataOnly="0" labelOnly="1" fieldPosition="0">
        <references count="1">
          <reference field="2" count="0"/>
        </references>
      </pivotArea>
    </format>
    <format dxfId="157">
      <pivotArea dataOnly="0" labelOnly="1" grandRow="1" outline="0" fieldPosition="0"/>
    </format>
    <format dxfId="156">
      <pivotArea dataOnly="0" labelOnly="1" outline="0" fieldPosition="0">
        <references count="1">
          <reference field="4294967294" count="3">
            <x v="0"/>
            <x v="1"/>
            <x v="2"/>
          </reference>
        </references>
      </pivotArea>
    </format>
    <format dxfId="155">
      <pivotArea type="all" dataOnly="0" outline="0" fieldPosition="0"/>
    </format>
    <format dxfId="154">
      <pivotArea outline="0" collapsedLevelsAreSubtotals="1" fieldPosition="0"/>
    </format>
    <format dxfId="153">
      <pivotArea field="2" type="button" dataOnly="0" labelOnly="1" outline="0" axis="axisRow" fieldPosition="0"/>
    </format>
    <format dxfId="152">
      <pivotArea dataOnly="0" labelOnly="1" fieldPosition="0">
        <references count="1">
          <reference field="2" count="0"/>
        </references>
      </pivotArea>
    </format>
    <format dxfId="151">
      <pivotArea dataOnly="0" labelOnly="1" grandRow="1" outline="0" fieldPosition="0"/>
    </format>
    <format dxfId="150">
      <pivotArea dataOnly="0" labelOnly="1" outline="0" fieldPosition="0">
        <references count="1">
          <reference field="4294967294" count="3">
            <x v="0"/>
            <x v="1"/>
            <x v="2"/>
          </reference>
        </references>
      </pivotArea>
    </format>
    <format dxfId="149">
      <pivotArea collapsedLevelsAreSubtotals="1" fieldPosition="0">
        <references count="1">
          <reference field="2" count="0"/>
        </references>
      </pivotArea>
    </format>
    <format dxfId="148">
      <pivotArea field="2" type="button" dataOnly="0" labelOnly="1" outline="0" axis="axisRow" fieldPosition="0"/>
    </format>
    <format dxfId="147">
      <pivotArea dataOnly="0" labelOnly="1" fieldPosition="0">
        <references count="1">
          <reference field="2" count="0"/>
        </references>
      </pivotArea>
    </format>
    <format dxfId="146">
      <pivotArea dataOnly="0" labelOnly="1" outline="0" fieldPosition="0">
        <references count="1">
          <reference field="4294967294" count="3">
            <x v="0"/>
            <x v="1"/>
            <x v="2"/>
          </reference>
        </references>
      </pivotArea>
    </format>
  </formats>
  <conditionalFormats count="2">
    <conditionalFormat priority="1">
      <pivotAreas count="1">
        <pivotArea type="data" collapsedLevelsAreSubtotals="1" fieldPosition="0">
          <references count="2">
            <reference field="4294967294" count="1" selected="0">
              <x v="2"/>
            </reference>
            <reference field="2" count="5">
              <x v="0"/>
              <x v="1"/>
              <x v="2"/>
              <x v="3"/>
              <x v="4"/>
            </reference>
          </references>
        </pivotArea>
      </pivotAreas>
    </conditionalFormat>
    <conditionalFormat priority="2">
      <pivotAreas count="1">
        <pivotArea type="data" collapsedLevelsAreSubtotals="1" fieldPosition="0">
          <references count="2">
            <reference field="4294967294" count="1" selected="0">
              <x v="2"/>
            </reference>
            <reference field="2"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D5C0C1-25C0-4055-B26F-002580709D64}" name="PivotTable1" cacheId="1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9" firstHeaderRow="1" firstDataRow="1" firstDataCol="1" rowPageCount="1" colPageCount="1"/>
  <pivotFields count="9">
    <pivotField compact="0" outline="0" showAll="0"/>
    <pivotField axis="axisPage" compact="0" outline="0" multipleItemSelectionAllowed="1" showAll="0">
      <items count="6">
        <item x="0"/>
        <item x="1"/>
        <item x="2"/>
        <item x="3"/>
        <item x="4"/>
        <item t="default"/>
      </items>
    </pivotField>
    <pivotField compact="0" outline="0" showAll="0"/>
    <pivotField compact="0" outline="0" showAll="0"/>
    <pivotField compact="0" numFmtId="1" outline="0" showAll="0"/>
    <pivotField compact="0" outline="0" showAll="0"/>
    <pivotField axis="axisRow" dataField="1" compact="0" outline="0" showAll="0" sortType="descending">
      <items count="8">
        <item h="1" x="0"/>
        <item x="2"/>
        <item x="4"/>
        <item x="5"/>
        <item x="1"/>
        <item x="3"/>
        <item h="1" x="6"/>
        <item t="default"/>
      </items>
      <autoSortScope>
        <pivotArea dataOnly="0" outline="0" fieldPosition="0">
          <references count="1">
            <reference field="4294967294" count="1" selected="0">
              <x v="0"/>
            </reference>
          </references>
        </pivotArea>
      </autoSortScope>
    </pivotField>
    <pivotField compact="0" numFmtId="164" outline="0" showAll="0"/>
    <pivotField compact="0" outline="0" showAll="0"/>
  </pivotFields>
  <rowFields count="1">
    <field x="6"/>
  </rowFields>
  <rowItems count="6">
    <i>
      <x v="4"/>
    </i>
    <i>
      <x v="1"/>
    </i>
    <i>
      <x v="5"/>
    </i>
    <i>
      <x v="2"/>
    </i>
    <i>
      <x v="3"/>
    </i>
    <i t="grand">
      <x/>
    </i>
  </rowItems>
  <colItems count="1">
    <i/>
  </colItems>
  <pageFields count="1">
    <pageField fld="1" hier="-1"/>
  </pageFields>
  <dataFields count="1">
    <dataField name="Error_Count" fld="6" subtotal="count" baseField="6" baseItem="1"/>
  </dataFields>
  <formats count="54">
    <format dxfId="145">
      <pivotArea grandRow="1" outline="0" collapsedLevelsAreSubtotals="1" fieldPosition="0"/>
    </format>
    <format dxfId="144">
      <pivotArea dataOnly="0" labelOnly="1" grandRow="1" outline="0" fieldPosition="0"/>
    </format>
    <format dxfId="143">
      <pivotArea grandRow="1" outline="0" collapsedLevelsAreSubtotals="1" fieldPosition="0"/>
    </format>
    <format dxfId="142">
      <pivotArea dataOnly="0" labelOnly="1" grandRow="1" outline="0" fieldPosition="0"/>
    </format>
    <format dxfId="141">
      <pivotArea field="6" type="button" dataOnly="0" labelOnly="1" outline="0" axis="axisRow"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6" type="button" dataOnly="0" labelOnly="1" outline="0" axis="axisRow" fieldPosition="0"/>
    </format>
    <format dxfId="136">
      <pivotArea dataOnly="0" labelOnly="1" fieldPosition="0">
        <references count="1">
          <reference field="6" count="0"/>
        </references>
      </pivotArea>
    </format>
    <format dxfId="135">
      <pivotArea dataOnly="0" labelOnly="1" grandRow="1" outline="0"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6" type="button" dataOnly="0" labelOnly="1" outline="0" axis="axisRow" fieldPosition="0"/>
    </format>
    <format dxfId="130">
      <pivotArea dataOnly="0" labelOnly="1" fieldPosition="0">
        <references count="1">
          <reference field="6" count="0"/>
        </references>
      </pivotArea>
    </format>
    <format dxfId="129">
      <pivotArea dataOnly="0" labelOnly="1" grandRow="1" outline="0"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6" type="button" dataOnly="0" labelOnly="1" outline="0" axis="axisRow" fieldPosition="0"/>
    </format>
    <format dxfId="124">
      <pivotArea dataOnly="0" labelOnly="1" fieldPosition="0">
        <references count="1">
          <reference field="6" count="0"/>
        </references>
      </pivotArea>
    </format>
    <format dxfId="123">
      <pivotArea dataOnly="0" labelOnly="1" grandRow="1" outline="0"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6" type="button" dataOnly="0" labelOnly="1" outline="0" axis="axisRow" fieldPosition="0"/>
    </format>
    <format dxfId="118">
      <pivotArea dataOnly="0" labelOnly="1" fieldPosition="0">
        <references count="1">
          <reference field="6" count="0"/>
        </references>
      </pivotArea>
    </format>
    <format dxfId="117">
      <pivotArea dataOnly="0" labelOnly="1" grandRow="1" outline="0"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field="6" type="button" dataOnly="0" labelOnly="1" outline="0" axis="axisRow" fieldPosition="0"/>
    </format>
    <format dxfId="112">
      <pivotArea dataOnly="0" labelOnly="1" fieldPosition="0">
        <references count="1">
          <reference field="6" count="0"/>
        </references>
      </pivotArea>
    </format>
    <format dxfId="111">
      <pivotArea dataOnly="0" labelOnly="1" grandRow="1" outline="0" fieldPosition="0"/>
    </format>
    <format dxfId="110">
      <pivotArea dataOnly="0" labelOnly="1" outline="0" axis="axisValues" fieldPosition="0"/>
    </format>
    <format dxfId="109">
      <pivotArea collapsedLevelsAreSubtotals="1" fieldPosition="0">
        <references count="1">
          <reference field="6" count="0"/>
        </references>
      </pivotArea>
    </format>
    <format dxfId="108">
      <pivotArea field="6" type="button" dataOnly="0" labelOnly="1" outline="0" axis="axisRow" fieldPosition="0"/>
    </format>
    <format dxfId="107">
      <pivotArea dataOnly="0" labelOnly="1" fieldPosition="0">
        <references count="1">
          <reference field="6" count="0"/>
        </references>
      </pivotArea>
    </format>
    <format dxfId="106">
      <pivotArea dataOnly="0" labelOnly="1" outline="0" axis="axisValues" fieldPosition="0"/>
    </format>
    <format dxfId="105">
      <pivotArea grandRow="1" outline="0" collapsedLevelsAreSubtotals="1" fieldPosition="0"/>
    </format>
    <format dxfId="104">
      <pivotArea dataOnly="0" labelOnly="1" grandRow="1" outline="0" fieldPosition="0"/>
    </format>
    <format dxfId="103">
      <pivotArea type="all" dataOnly="0" outline="0" fieldPosition="0"/>
    </format>
    <format dxfId="102">
      <pivotArea outline="0" collapsedLevelsAreSubtotals="1" fieldPosition="0"/>
    </format>
    <format dxfId="101">
      <pivotArea field="6" type="button" dataOnly="0" labelOnly="1" outline="0" axis="axisRow" fieldPosition="0"/>
    </format>
    <format dxfId="100">
      <pivotArea dataOnly="0" labelOnly="1" fieldPosition="0">
        <references count="1">
          <reference field="6" count="0"/>
        </references>
      </pivotArea>
    </format>
    <format dxfId="99">
      <pivotArea dataOnly="0" labelOnly="1" grandRow="1" outline="0"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6" type="button" dataOnly="0" labelOnly="1" outline="0" axis="axisRow" fieldPosition="0"/>
    </format>
    <format dxfId="94">
      <pivotArea dataOnly="0" labelOnly="1" fieldPosition="0">
        <references count="1">
          <reference field="6" count="0"/>
        </references>
      </pivotArea>
    </format>
    <format dxfId="93">
      <pivotArea dataOnly="0" labelOnly="1" grandRow="1" outline="0" fieldPosition="0"/>
    </format>
    <format dxfId="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F0D045-EA95-4701-A218-EB29FE6441E8}" name="PivotTable2" cacheId="1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0" firstHeaderRow="1" firstDataRow="2" firstDataCol="1" rowPageCount="1" colPageCount="1"/>
  <pivotFields count="9">
    <pivotField dataField="1" compact="0" outline="0" showAll="0"/>
    <pivotField axis="axisPage" compact="0" outline="0" multipleItemSelectionAllowed="1" showAll="0">
      <items count="6">
        <item x="0"/>
        <item x="1"/>
        <item x="2"/>
        <item x="3"/>
        <item x="4"/>
        <item t="default"/>
      </items>
    </pivotField>
    <pivotField axis="axisRow" compact="0" outline="0" showAll="0">
      <items count="7">
        <item x="3"/>
        <item x="4"/>
        <item x="0"/>
        <item x="1"/>
        <item x="2"/>
        <item h="1" x="5"/>
        <item t="default"/>
      </items>
    </pivotField>
    <pivotField compact="0" outline="0" showAll="0"/>
    <pivotField compact="0" numFmtId="1" outline="0" showAll="0"/>
    <pivotField compact="0" outline="0" showAll="0"/>
    <pivotField compact="0" outline="0" showAll="0"/>
    <pivotField compact="0" numFmtId="164" outline="0" showAll="0"/>
    <pivotField name="SLA_Status" axis="axisCol" compact="0" outline="0" showAll="0">
      <items count="4">
        <item x="1"/>
        <item x="0"/>
        <item x="2"/>
        <item t="default"/>
      </items>
    </pivotField>
  </pivotFields>
  <rowFields count="1">
    <field x="2"/>
  </rowFields>
  <rowItems count="6">
    <i>
      <x/>
    </i>
    <i>
      <x v="1"/>
    </i>
    <i>
      <x v="2"/>
    </i>
    <i>
      <x v="3"/>
    </i>
    <i>
      <x v="4"/>
    </i>
    <i t="grand">
      <x/>
    </i>
  </rowItems>
  <colFields count="1">
    <field x="8"/>
  </colFields>
  <colItems count="3">
    <i>
      <x/>
    </i>
    <i>
      <x v="1"/>
    </i>
    <i t="grand">
      <x/>
    </i>
  </colItems>
  <pageFields count="1">
    <pageField fld="1" hier="-1"/>
  </pageFields>
  <dataFields count="1">
    <dataField name="Cases" fld="0" subtotal="count" baseField="2" baseItem="0"/>
  </dataFields>
  <formats count="49">
    <format dxfId="60">
      <pivotArea type="all" dataOnly="0" outline="0" fieldPosition="0"/>
    </format>
    <format dxfId="59">
      <pivotArea outline="0" collapsedLevelsAreSubtotals="1" fieldPosition="0"/>
    </format>
    <format dxfId="58">
      <pivotArea type="origin" dataOnly="0" labelOnly="1" outline="0" fieldPosition="0"/>
    </format>
    <format dxfId="57">
      <pivotArea field="8" type="button" dataOnly="0" labelOnly="1" outline="0" axis="axisCol" fieldPosition="0"/>
    </format>
    <format dxfId="56">
      <pivotArea type="topRight" dataOnly="0" labelOnly="1" outline="0" fieldPosition="0"/>
    </format>
    <format dxfId="55">
      <pivotArea field="2" type="button" dataOnly="0" labelOnly="1" outline="0" axis="axisRow" fieldPosition="0"/>
    </format>
    <format dxfId="54">
      <pivotArea dataOnly="0" labelOnly="1" fieldPosition="0">
        <references count="1">
          <reference field="2" count="0"/>
        </references>
      </pivotArea>
    </format>
    <format dxfId="53">
      <pivotArea dataOnly="0" labelOnly="1" grandRow="1" outline="0" fieldPosition="0"/>
    </format>
    <format dxfId="52">
      <pivotArea dataOnly="0" labelOnly="1" fieldPosition="0">
        <references count="1">
          <reference field="8" count="0"/>
        </references>
      </pivotArea>
    </format>
    <format dxfId="51">
      <pivotArea dataOnly="0" labelOnly="1" grandCol="1" outline="0"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8" type="button" dataOnly="0" labelOnly="1" outline="0" axis="axisCol" fieldPosition="0"/>
    </format>
    <format dxfId="46">
      <pivotArea type="topRight" dataOnly="0" labelOnly="1" outline="0" fieldPosition="0"/>
    </format>
    <format dxfId="45">
      <pivotArea field="2" type="button" dataOnly="0" labelOnly="1" outline="0" axis="axisRow" fieldPosition="0"/>
    </format>
    <format dxfId="44">
      <pivotArea dataOnly="0" labelOnly="1" fieldPosition="0">
        <references count="1">
          <reference field="2" count="0"/>
        </references>
      </pivotArea>
    </format>
    <format dxfId="43">
      <pivotArea dataOnly="0" labelOnly="1" grandRow="1" outline="0" fieldPosition="0"/>
    </format>
    <format dxfId="42">
      <pivotArea dataOnly="0" labelOnly="1" fieldPosition="0">
        <references count="1">
          <reference field="8" count="0"/>
        </references>
      </pivotArea>
    </format>
    <format dxfId="41">
      <pivotArea dataOnly="0" labelOnly="1" grandCol="1" outline="0" fieldPosition="0"/>
    </format>
    <format dxfId="40">
      <pivotArea type="all" dataOnly="0" outline="0" fieldPosition="0"/>
    </format>
    <format dxfId="39">
      <pivotArea outline="0" collapsedLevelsAreSubtotals="1" fieldPosition="0"/>
    </format>
    <format dxfId="38">
      <pivotArea type="origin" dataOnly="0" labelOnly="1" outline="0" fieldPosition="0"/>
    </format>
    <format dxfId="37">
      <pivotArea field="8" type="button" dataOnly="0" labelOnly="1" outline="0" axis="axisCol" fieldPosition="0"/>
    </format>
    <format dxfId="36">
      <pivotArea type="topRight" dataOnly="0" labelOnly="1" outline="0" fieldPosition="0"/>
    </format>
    <format dxfId="35">
      <pivotArea field="2" type="button" dataOnly="0" labelOnly="1" outline="0" axis="axisRow" fieldPosition="0"/>
    </format>
    <format dxfId="34">
      <pivotArea dataOnly="0" labelOnly="1" fieldPosition="0">
        <references count="1">
          <reference field="2" count="0"/>
        </references>
      </pivotArea>
    </format>
    <format dxfId="33">
      <pivotArea dataOnly="0" labelOnly="1" grandRow="1" outline="0" fieldPosition="0"/>
    </format>
    <format dxfId="32">
      <pivotArea dataOnly="0" labelOnly="1" fieldPosition="0">
        <references count="1">
          <reference field="8" count="0"/>
        </references>
      </pivotArea>
    </format>
    <format dxfId="31">
      <pivotArea dataOnly="0" labelOnly="1" grandCol="1" outline="0" fieldPosition="0"/>
    </format>
    <format dxfId="30">
      <pivotArea type="all" dataOnly="0" outline="0" fieldPosition="0"/>
    </format>
    <format dxfId="29">
      <pivotArea outline="0" collapsedLevelsAreSubtotals="1" fieldPosition="0"/>
    </format>
    <format dxfId="28">
      <pivotArea type="origin" dataOnly="0" labelOnly="1" outline="0" fieldPosition="0"/>
    </format>
    <format dxfId="27">
      <pivotArea field="8" type="button" dataOnly="0" labelOnly="1" outline="0" axis="axisCol" fieldPosition="0"/>
    </format>
    <format dxfId="26">
      <pivotArea type="topRight" dataOnly="0" labelOnly="1" outline="0"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fieldPosition="0">
        <references count="1">
          <reference field="8" count="0"/>
        </references>
      </pivotArea>
    </format>
    <format dxfId="21">
      <pivotArea dataOnly="0" labelOnly="1" grandCol="1" outline="0" fieldPosition="0"/>
    </format>
    <format dxfId="20">
      <pivotArea type="topRight" dataOnly="0" labelOnly="1" outline="0" fieldPosition="0"/>
    </format>
    <format dxfId="19">
      <pivotArea grandRow="1" outline="0" collapsedLevelsAreSubtotals="1" fieldPosition="0"/>
    </format>
    <format dxfId="18">
      <pivotArea dataOnly="0" labelOnly="1" grandRow="1" outline="0" fieldPosition="0"/>
    </format>
    <format dxfId="17">
      <pivotArea type="origin" dataOnly="0" labelOnly="1" outline="0" fieldPosition="0"/>
    </format>
    <format dxfId="16">
      <pivotArea field="8" type="button" dataOnly="0" labelOnly="1" outline="0" axis="axisCol" fieldPosition="0"/>
    </format>
    <format dxfId="15">
      <pivotArea type="topRight" dataOnly="0" labelOnly="1" outline="0" fieldPosition="0"/>
    </format>
    <format dxfId="14">
      <pivotArea field="2" type="button" dataOnly="0" labelOnly="1" outline="0" axis="axisRow" fieldPosition="0"/>
    </format>
    <format dxfId="13">
      <pivotArea dataOnly="0" labelOnly="1" outline="0" fieldPosition="0">
        <references count="1">
          <reference field="8" count="0"/>
        </references>
      </pivotArea>
    </format>
    <format dxfId="1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880D3-C29D-4D90-B756-DEC494CDE183}" name="PivotTable3" cacheId="1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D22" firstHeaderRow="0" firstDataRow="1" firstDataCol="1"/>
  <pivotFields count="9">
    <pivotField dataField="1" compact="0" outline="0" showAll="0"/>
    <pivotField compact="0" outline="0" showAll="0">
      <items count="6">
        <item x="0"/>
        <item x="1"/>
        <item x="2"/>
        <item x="3"/>
        <item x="4"/>
        <item t="default"/>
      </items>
    </pivotField>
    <pivotField compact="0" outline="0" showAll="0"/>
    <pivotField axis="axisRow" compact="0" outline="0" showAll="0">
      <items count="6">
        <item x="3"/>
        <item x="1"/>
        <item x="2"/>
        <item x="0"/>
        <item h="1" x="4"/>
        <item t="default"/>
      </items>
    </pivotField>
    <pivotField compact="0" numFmtId="1" outline="0" showAll="0"/>
    <pivotField compact="0" outline="0" showAll="0"/>
    <pivotField compact="0" outline="0" showAll="0"/>
    <pivotField dataField="1" compact="0" numFmtId="164" outline="0" showAll="0"/>
    <pivotField compact="0" outline="0" showAll="0"/>
  </pivotFields>
  <rowFields count="1">
    <field x="3"/>
  </rowFields>
  <rowItems count="5">
    <i>
      <x/>
    </i>
    <i>
      <x v="1"/>
    </i>
    <i>
      <x v="2"/>
    </i>
    <i>
      <x v="3"/>
    </i>
    <i t="grand">
      <x/>
    </i>
  </rowItems>
  <colFields count="1">
    <field x="-2"/>
  </colFields>
  <colItems count="3">
    <i>
      <x/>
    </i>
    <i i="1">
      <x v="1"/>
    </i>
    <i i="2">
      <x v="2"/>
    </i>
  </colItems>
  <dataFields count="3">
    <dataField name="Total_Cases" fld="0" subtotal="count" baseField="3" baseItem="0"/>
    <dataField name="Avg_AHT" fld="7" subtotal="average" baseField="3" baseItem="0" numFmtId="164"/>
    <dataField name="Max_AHT" fld="7" subtotal="max" baseField="3" baseItem="1" numFmtId="164"/>
  </dataFields>
  <formats count="31">
    <format dxfId="91">
      <pivotArea type="all" dataOnly="0" outline="0" fieldPosition="0"/>
    </format>
    <format dxfId="90">
      <pivotArea outline="0" collapsedLevelsAreSubtotals="1" fieldPosition="0"/>
    </format>
    <format dxfId="89">
      <pivotArea field="3" type="button" dataOnly="0" labelOnly="1" outline="0" axis="axisRow" fieldPosition="0"/>
    </format>
    <format dxfId="88">
      <pivotArea dataOnly="0" labelOnly="1" fieldPosition="0">
        <references count="1">
          <reference field="3" count="0"/>
        </references>
      </pivotArea>
    </format>
    <format dxfId="87">
      <pivotArea dataOnly="0" labelOnly="1" grandRow="1" outline="0" fieldPosition="0"/>
    </format>
    <format dxfId="86">
      <pivotArea dataOnly="0" labelOnly="1" outline="0" fieldPosition="0">
        <references count="1">
          <reference field="4294967294" count="3">
            <x v="0"/>
            <x v="1"/>
            <x v="2"/>
          </reference>
        </references>
      </pivotArea>
    </format>
    <format dxfId="85">
      <pivotArea type="all" dataOnly="0" outline="0" fieldPosition="0"/>
    </format>
    <format dxfId="84">
      <pivotArea outline="0" collapsedLevelsAreSubtotals="1" fieldPosition="0"/>
    </format>
    <format dxfId="83">
      <pivotArea field="3" type="button" dataOnly="0" labelOnly="1" outline="0" axis="axisRow" fieldPosition="0"/>
    </format>
    <format dxfId="82">
      <pivotArea dataOnly="0" labelOnly="1" fieldPosition="0">
        <references count="1">
          <reference field="3" count="0"/>
        </references>
      </pivotArea>
    </format>
    <format dxfId="81">
      <pivotArea dataOnly="0" labelOnly="1" grandRow="1" outline="0" fieldPosition="0"/>
    </format>
    <format dxfId="80">
      <pivotArea dataOnly="0" labelOnly="1" outline="0" fieldPosition="0">
        <references count="1">
          <reference field="4294967294" count="3">
            <x v="0"/>
            <x v="1"/>
            <x v="2"/>
          </reference>
        </references>
      </pivotArea>
    </format>
    <format dxfId="79">
      <pivotArea type="all" dataOnly="0" outline="0" fieldPosition="0"/>
    </format>
    <format dxfId="78">
      <pivotArea outline="0" collapsedLevelsAreSubtotals="1" fieldPosition="0"/>
    </format>
    <format dxfId="77">
      <pivotArea field="3" type="button" dataOnly="0" labelOnly="1" outline="0" axis="axisRow" fieldPosition="0"/>
    </format>
    <format dxfId="76">
      <pivotArea dataOnly="0" labelOnly="1" fieldPosition="0">
        <references count="1">
          <reference field="3" count="0"/>
        </references>
      </pivotArea>
    </format>
    <format dxfId="75">
      <pivotArea dataOnly="0" labelOnly="1" grandRow="1" outline="0" fieldPosition="0"/>
    </format>
    <format dxfId="74">
      <pivotArea dataOnly="0" labelOnly="1" outline="0" fieldPosition="0">
        <references count="1">
          <reference field="4294967294" count="3">
            <x v="0"/>
            <x v="1"/>
            <x v="2"/>
          </reference>
        </references>
      </pivotArea>
    </format>
    <format dxfId="73">
      <pivotArea type="all" dataOnly="0" outline="0" fieldPosition="0"/>
    </format>
    <format dxfId="72">
      <pivotArea outline="0" collapsedLevelsAreSubtotals="1" fieldPosition="0"/>
    </format>
    <format dxfId="71">
      <pivotArea field="3" type="button" dataOnly="0" labelOnly="1" outline="0" axis="axisRow" fieldPosition="0"/>
    </format>
    <format dxfId="70">
      <pivotArea dataOnly="0" labelOnly="1" fieldPosition="0">
        <references count="1">
          <reference field="3" count="0"/>
        </references>
      </pivotArea>
    </format>
    <format dxfId="69">
      <pivotArea dataOnly="0" labelOnly="1" grandRow="1" outline="0" fieldPosition="0"/>
    </format>
    <format dxfId="68">
      <pivotArea dataOnly="0" labelOnly="1" outline="0" fieldPosition="0">
        <references count="1">
          <reference field="4294967294" count="3">
            <x v="0"/>
            <x v="1"/>
            <x v="2"/>
          </reference>
        </references>
      </pivotArea>
    </format>
    <format dxfId="67">
      <pivotArea field="3" type="button" dataOnly="0" labelOnly="1" outline="0" axis="axisRow" fieldPosition="0"/>
    </format>
    <format dxfId="66">
      <pivotArea dataOnly="0" labelOnly="1" outline="0" fieldPosition="0">
        <references count="1">
          <reference field="4294967294" count="3">
            <x v="0"/>
            <x v="1"/>
            <x v="2"/>
          </reference>
        </references>
      </pivotArea>
    </format>
    <format dxfId="65">
      <pivotArea grandRow="1" outline="0" collapsedLevelsAreSubtotals="1" fieldPosition="0"/>
    </format>
    <format dxfId="64">
      <pivotArea dataOnly="0" labelOnly="1" grandRow="1" outline="0" fieldPosition="0"/>
    </format>
    <format dxfId="63">
      <pivotArea field="3" grandRow="1" outline="0" axis="axisRow" fieldPosition="0">
        <references count="1">
          <reference field="4294967294" count="1" selected="0">
            <x v="1"/>
          </reference>
        </references>
      </pivotArea>
    </format>
    <format dxfId="62">
      <pivotArea outline="0" fieldPosition="0">
        <references count="2">
          <reference field="4294967294" count="1" selected="0">
            <x v="1"/>
          </reference>
          <reference field="3" count="0" selected="0"/>
        </references>
      </pivotArea>
    </format>
    <format dxfId="61">
      <pivotArea outline="0" fieldPosition="0">
        <references count="2">
          <reference field="4294967294" count="1" selected="0">
            <x v="2"/>
          </reference>
          <reference field="3" count="0" selected="0"/>
        </references>
      </pivotArea>
    </format>
  </formats>
  <conditionalFormats count="1">
    <conditionalFormat priority="1">
      <pivotAreas count="1">
        <pivotArea type="data" outline="0" collapsedLevelsAreSubtotals="1" fieldPosition="0">
          <references count="2">
            <reference field="4294967294" count="1" selected="0">
              <x v="1"/>
            </reference>
            <reference field="3" count="4" selected="0">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Ending" xr10:uid="{081E1BFC-19CD-405A-B193-2F84210452A8}" sourceName="Week_Ending">
  <pivotTables>
    <pivotTable tabId="3" name="PivotTable1"/>
    <pivotTable tabId="4" name="PivotTable1"/>
    <pivotTable tabId="5" name="PivotTable2"/>
    <pivotTable tabId="5" name="PivotTable3"/>
  </pivotTables>
  <data>
    <tabular pivotCacheId="1209808516">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Week" xr10:uid="{3F544EEE-830A-44E7-9BCE-C37B857A9EA9}" cache="Slicer_Week_Ending" caption="Filter by Week"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E257B-CFDD-4CD7-B6F3-84117C8C6B0C}">
  <sheetPr>
    <tabColor theme="3" tint="0.39997558519241921"/>
  </sheetPr>
  <dimension ref="A1:K42"/>
  <sheetViews>
    <sheetView showGridLines="0" tabSelected="1" topLeftCell="A7" zoomScaleNormal="100" workbookViewId="0">
      <selection activeCell="B11" sqref="B11:F16"/>
    </sheetView>
  </sheetViews>
  <sheetFormatPr defaultRowHeight="14.4" x14ac:dyDescent="0.3"/>
  <cols>
    <col min="1" max="1" width="2.77734375" style="71" customWidth="1"/>
    <col min="2" max="2" width="20.77734375" style="71" customWidth="1"/>
    <col min="3" max="3" width="14.77734375" style="71" customWidth="1"/>
    <col min="4" max="4" width="20.77734375" style="71" customWidth="1"/>
    <col min="5" max="5" width="14.77734375" style="71" customWidth="1"/>
    <col min="6" max="6" width="20.77734375" style="71" customWidth="1"/>
    <col min="7" max="7" width="14.77734375" style="71" customWidth="1"/>
    <col min="8" max="8" width="22" style="71" bestFit="1" customWidth="1"/>
    <col min="9" max="9" width="2.77734375" style="116" customWidth="1"/>
    <col min="10" max="11" width="14.77734375" style="116" customWidth="1"/>
    <col min="12" max="12" width="2.77734375" style="71" customWidth="1"/>
    <col min="13" max="16384" width="8.88671875" style="71"/>
  </cols>
  <sheetData>
    <row r="1" spans="1:11" ht="36" customHeight="1" x14ac:dyDescent="0.3">
      <c r="B1" s="62" t="s">
        <v>178</v>
      </c>
      <c r="C1" s="62"/>
      <c r="D1" s="62"/>
      <c r="E1" s="62"/>
      <c r="F1" s="62"/>
      <c r="G1" s="62"/>
      <c r="H1" s="62"/>
      <c r="I1" s="113"/>
      <c r="J1" s="113"/>
      <c r="K1" s="113"/>
    </row>
    <row r="2" spans="1:11" ht="19.95" customHeight="1" x14ac:dyDescent="0.3">
      <c r="B2" s="63">
        <f ca="1">TODAY()</f>
        <v>46247</v>
      </c>
      <c r="C2" s="63"/>
      <c r="D2" s="63"/>
      <c r="E2" s="63"/>
      <c r="F2" s="63"/>
      <c r="G2" s="63"/>
      <c r="H2" s="63"/>
      <c r="I2" s="114"/>
      <c r="J2" s="114"/>
      <c r="K2" s="114"/>
    </row>
    <row r="4" spans="1:11" ht="19.95" customHeight="1" x14ac:dyDescent="0.3">
      <c r="B4" s="61" t="s">
        <v>179</v>
      </c>
      <c r="C4" s="68"/>
      <c r="D4" s="61" t="s">
        <v>180</v>
      </c>
      <c r="E4" s="69"/>
      <c r="F4" s="61" t="s">
        <v>182</v>
      </c>
      <c r="G4" s="60"/>
      <c r="H4" s="118" t="s">
        <v>184</v>
      </c>
      <c r="I4" s="115"/>
      <c r="J4" s="115"/>
    </row>
    <row r="5" spans="1:11" ht="40.049999999999997" customHeight="1" x14ac:dyDescent="0.3">
      <c r="B5" s="80">
        <f>GETPIVOTDATA("Accuracy_Rate",PIVOT_ACCURACY!$A$3)</f>
        <v>0.81818181818181823</v>
      </c>
      <c r="C5" s="70"/>
      <c r="D5" s="82">
        <f>GETPIVOTDATA("Total_Audits",PIVOT_ACCURACY!$A$3)</f>
        <v>55</v>
      </c>
      <c r="F5" s="81">
        <f>COUNTIF(REFINED_DATA!I:I,"Met")/COUNTA(REFINED_DATA!A1:A51)</f>
        <v>0.84313725490196079</v>
      </c>
      <c r="H5" s="119">
        <f>COUNTIF(REFINED_DATA!E:E,0)</f>
        <v>10</v>
      </c>
    </row>
    <row r="6" spans="1:11" s="74" customFormat="1" ht="7.95" customHeight="1" x14ac:dyDescent="0.3">
      <c r="B6" s="72"/>
      <c r="C6" s="70"/>
      <c r="D6" s="73"/>
      <c r="F6" s="75"/>
      <c r="H6" s="73"/>
      <c r="I6" s="116"/>
      <c r="J6" s="116"/>
      <c r="K6" s="116"/>
    </row>
    <row r="7" spans="1:11" ht="18" customHeight="1" x14ac:dyDescent="0.3">
      <c r="A7" s="74"/>
      <c r="B7" s="77" t="s">
        <v>192</v>
      </c>
      <c r="C7" s="77"/>
      <c r="D7" s="77" t="s">
        <v>181</v>
      </c>
      <c r="E7" s="78"/>
      <c r="F7" s="84" t="s">
        <v>183</v>
      </c>
      <c r="G7" s="78"/>
      <c r="H7" s="84" t="s">
        <v>185</v>
      </c>
    </row>
    <row r="8" spans="1:11" s="76" customFormat="1" ht="18" customHeight="1" x14ac:dyDescent="0.3">
      <c r="A8" s="79"/>
      <c r="B8" s="95" t="str">
        <f>IF(B5&gt;=0.92,"✅ On Track","⚠ Below Target")</f>
        <v>⚠ Below Target</v>
      </c>
      <c r="C8" s="83"/>
      <c r="D8" s="94" t="s">
        <v>201</v>
      </c>
      <c r="E8" s="83"/>
      <c r="F8" s="95" t="str">
        <f>IF(F5&gt;=80%,"✅ On Track","⚠ Below Target")</f>
        <v>✅ On Track</v>
      </c>
      <c r="G8" s="83"/>
      <c r="H8" s="112" t="str">
        <f>H5 &amp; " errors ("&amp;TEXT(H5/50,"0%")&amp;" error rate)"</f>
        <v>10 errors (20% error rate)</v>
      </c>
      <c r="I8" s="117"/>
      <c r="J8" s="117"/>
      <c r="K8" s="117"/>
    </row>
    <row r="9" spans="1:11" x14ac:dyDescent="0.3">
      <c r="B9" s="91"/>
    </row>
    <row r="10" spans="1:11" ht="19.95" customHeight="1" x14ac:dyDescent="0.3">
      <c r="B10" s="86" t="s">
        <v>186</v>
      </c>
      <c r="C10" s="86"/>
      <c r="D10" s="86"/>
      <c r="E10" s="86"/>
      <c r="F10" s="86"/>
      <c r="G10" s="86"/>
      <c r="H10" s="86"/>
    </row>
    <row r="11" spans="1:11" x14ac:dyDescent="0.3">
      <c r="B11" s="87" t="s">
        <v>187</v>
      </c>
      <c r="C11" s="87" t="s">
        <v>188</v>
      </c>
      <c r="D11" s="87" t="s">
        <v>189</v>
      </c>
      <c r="E11" s="87" t="s">
        <v>190</v>
      </c>
      <c r="F11" s="87" t="s">
        <v>191</v>
      </c>
    </row>
    <row r="12" spans="1:11" x14ac:dyDescent="0.3">
      <c r="B12" s="88" t="s">
        <v>13</v>
      </c>
      <c r="C12" s="89">
        <f>AVERAGEIF(REFINED_DATA!C:C,DASHBOARD!B12,REFINED_DATA!E:E)</f>
        <v>0.81818181818181823</v>
      </c>
      <c r="D12" s="89">
        <f>COUNTIFS(REFINED_DATA!$C:$C,DASHBOARD!B12,REFINED_DATA!$I:$I,"Met")/COUNTIF(REFINED_DATA!$C:$C,DASHBOARD!B12)</f>
        <v>0.90909090909090906</v>
      </c>
      <c r="E12" s="88">
        <f>IFERROR(COUNTIFS(REFINED_DATA!$C:$C,DASHBOARD!B12,REFINED_DATA!$E:$E, 0)," ")</f>
        <v>2</v>
      </c>
      <c r="F12" s="88" t="str">
        <f>IFERROR(IF(C12&gt;=0.85,"✅ On Track","⚠ Review"),"")</f>
        <v>⚠ Review</v>
      </c>
    </row>
    <row r="13" spans="1:11" x14ac:dyDescent="0.3">
      <c r="B13" s="88" t="s">
        <v>17</v>
      </c>
      <c r="C13" s="89">
        <f>AVERAGEIF(REFINED_DATA!C:C,DASHBOARD!B13,REFINED_DATA!E:E)</f>
        <v>0.9</v>
      </c>
      <c r="D13" s="89">
        <f>COUNTIFS(REFINED_DATA!$C:$C,DASHBOARD!B13,REFINED_DATA!$I:$I,"Met")/COUNTIF(REFINED_DATA!$C:$C,DASHBOARD!B13)</f>
        <v>0.8</v>
      </c>
      <c r="E13" s="88">
        <f>IFERROR(COUNTIFS(REFINED_DATA!$C:$C,DASHBOARD!B13,REFINED_DATA!$E:$E, 0)," ")</f>
        <v>1</v>
      </c>
      <c r="F13" s="88" t="str">
        <f t="shared" ref="F13:F16" si="0">IFERROR(IF(C13&gt;=0.85,"✅ On Track","⚠ Review"),"")</f>
        <v>✅ On Track</v>
      </c>
    </row>
    <row r="14" spans="1:11" x14ac:dyDescent="0.3">
      <c r="B14" s="88" t="s">
        <v>22</v>
      </c>
      <c r="C14" s="89">
        <f>AVERAGEIF(REFINED_DATA!C:C,DASHBOARD!B14,REFINED_DATA!E:E)</f>
        <v>0.69230769230769229</v>
      </c>
      <c r="D14" s="89">
        <f>COUNTIFS(REFINED_DATA!$C:$C,DASHBOARD!B14,REFINED_DATA!$I:$I,"Met")/COUNTIF(REFINED_DATA!$C:$C,DASHBOARD!B14)</f>
        <v>0.76923076923076927</v>
      </c>
      <c r="E14" s="88">
        <f>IFERROR(COUNTIFS(REFINED_DATA!$C:$C,DASHBOARD!B14,REFINED_DATA!$E:$E, 0)," ")</f>
        <v>4</v>
      </c>
      <c r="F14" s="88" t="str">
        <f t="shared" si="0"/>
        <v>⚠ Review</v>
      </c>
    </row>
    <row r="15" spans="1:11" x14ac:dyDescent="0.3">
      <c r="B15" s="88" t="s">
        <v>27</v>
      </c>
      <c r="C15" s="89">
        <f>AVERAGEIF(REFINED_DATA!C:C,DASHBOARD!B15,REFINED_DATA!E:E)</f>
        <v>0.9</v>
      </c>
      <c r="D15" s="89">
        <f>COUNTIFS(REFINED_DATA!$C:$C,DASHBOARD!B15,REFINED_DATA!$I:$I,"Met")/COUNTIF(REFINED_DATA!$C:$C,DASHBOARD!B15)</f>
        <v>0.6</v>
      </c>
      <c r="E15" s="88">
        <f>IFERROR(COUNTIFS(REFINED_DATA!$C:$C,DASHBOARD!B15,REFINED_DATA!$E:$E, 0)," ")</f>
        <v>1</v>
      </c>
      <c r="F15" s="88" t="str">
        <f>IFERROR(IF(C15&gt;=0.85,"✅ On Track","⚠ Review"),"")</f>
        <v>✅ On Track</v>
      </c>
    </row>
    <row r="16" spans="1:11" x14ac:dyDescent="0.3">
      <c r="B16" s="88" t="s">
        <v>32</v>
      </c>
      <c r="C16" s="89">
        <f>AVERAGEIF(REFINED_DATA!C:C,DASHBOARD!B16,REFINED_DATA!E:E)</f>
        <v>0.81818181818181823</v>
      </c>
      <c r="D16" s="89">
        <f>COUNTIFS(REFINED_DATA!$C:$C,DASHBOARD!B16,REFINED_DATA!$I:$I,"Met")/COUNTIF(REFINED_DATA!$C:$C,DASHBOARD!B16)</f>
        <v>0.81818181818181823</v>
      </c>
      <c r="E16" s="88">
        <f>IFERROR(COUNTIFS(REFINED_DATA!$C:$C,DASHBOARD!B16,REFINED_DATA!$E:$E, 0)," ")</f>
        <v>2</v>
      </c>
      <c r="F16" s="88" t="str">
        <f t="shared" si="0"/>
        <v>⚠ Review</v>
      </c>
    </row>
    <row r="18" spans="2:8" ht="19.95" customHeight="1" x14ac:dyDescent="0.3">
      <c r="B18" s="86" t="s">
        <v>193</v>
      </c>
      <c r="C18" s="86"/>
      <c r="D18" s="86"/>
      <c r="E18" s="86"/>
      <c r="F18" s="86"/>
      <c r="G18" s="86"/>
      <c r="H18" s="86"/>
    </row>
    <row r="19" spans="2:8" x14ac:dyDescent="0.3">
      <c r="B19" s="67" t="s">
        <v>194</v>
      </c>
      <c r="C19" s="67" t="s">
        <v>195</v>
      </c>
      <c r="D19" s="67" t="s">
        <v>196</v>
      </c>
    </row>
    <row r="20" spans="2:8" x14ac:dyDescent="0.3">
      <c r="B20" s="90" t="s">
        <v>25</v>
      </c>
      <c r="C20" s="92">
        <f>IFERROR(COUNTIF(REFINED_DATA!$G:$G,DASHBOARD!B20),0)</f>
        <v>3</v>
      </c>
      <c r="D20" s="93">
        <f>IFERROR(C20/SUM($C$20:$C$24),0)</f>
        <v>0.3</v>
      </c>
    </row>
    <row r="21" spans="2:8" x14ac:dyDescent="0.3">
      <c r="B21" s="90" t="s">
        <v>36</v>
      </c>
      <c r="C21" s="92">
        <f>IFERROR(COUNTIF(REFINED_DATA!$G:$G,DASHBOARD!B21),0)</f>
        <v>3</v>
      </c>
      <c r="D21" s="93">
        <f t="shared" ref="D21:D24" si="1">IFERROR(C21/SUM($C$20:$C$24),0)</f>
        <v>0.3</v>
      </c>
    </row>
    <row r="22" spans="2:8" x14ac:dyDescent="0.3">
      <c r="B22" s="90" t="s">
        <v>47</v>
      </c>
      <c r="C22" s="92">
        <f>IFERROR(COUNTIF(REFINED_DATA!$G:$G,DASHBOARD!B22),0)</f>
        <v>2</v>
      </c>
      <c r="D22" s="93">
        <f t="shared" si="1"/>
        <v>0.2</v>
      </c>
    </row>
    <row r="23" spans="2:8" x14ac:dyDescent="0.3">
      <c r="B23" s="90" t="s">
        <v>84</v>
      </c>
      <c r="C23" s="92">
        <f>IFERROR(COUNTIF(REFINED_DATA!$G:$G,DASHBOARD!B23),0)</f>
        <v>1</v>
      </c>
      <c r="D23" s="93">
        <f t="shared" si="1"/>
        <v>0.1</v>
      </c>
    </row>
    <row r="24" spans="2:8" x14ac:dyDescent="0.3">
      <c r="B24" s="90" t="s">
        <v>97</v>
      </c>
      <c r="C24" s="92">
        <f>IFERROR(COUNTIF(REFINED_DATA!$G:$G,DASHBOARD!B24),0)</f>
        <v>1</v>
      </c>
      <c r="D24" s="93">
        <f t="shared" si="1"/>
        <v>0.1</v>
      </c>
    </row>
    <row r="26" spans="2:8" ht="19.95" customHeight="1" x14ac:dyDescent="0.3">
      <c r="B26" s="86" t="s">
        <v>197</v>
      </c>
      <c r="C26" s="86"/>
      <c r="D26" s="86"/>
      <c r="E26" s="86"/>
      <c r="F26" s="86"/>
      <c r="G26" s="86"/>
      <c r="H26" s="86"/>
    </row>
    <row r="27" spans="2:8" x14ac:dyDescent="0.3">
      <c r="B27" s="87" t="s">
        <v>198</v>
      </c>
      <c r="C27" s="87" t="s">
        <v>199</v>
      </c>
      <c r="D27" s="87" t="s">
        <v>200</v>
      </c>
      <c r="E27" s="87" t="s">
        <v>174</v>
      </c>
    </row>
    <row r="28" spans="2:8" x14ac:dyDescent="0.3">
      <c r="B28" s="90" t="s">
        <v>15</v>
      </c>
      <c r="C28" s="96">
        <f>IFERROR(AVERAGEIF(REFINED_DATA!$D:$D,DASHBOARD!B28,REFINED_DATA!$H:$H),"0")</f>
        <v>7.7631578947368425</v>
      </c>
      <c r="D28" s="96">
        <f>IFERROR(_xlfn.MAXIFS(REFINED_DATA!$H:$H,REFINED_DATA!$D:$D,DASHBOARD!B28), "0")</f>
        <v>12.5</v>
      </c>
      <c r="E28" s="90" t="str">
        <f>IF(C28&lt;=8,"✅ SLA Met","⚠ Breached SLA")</f>
        <v>✅ SLA Met</v>
      </c>
    </row>
    <row r="29" spans="2:8" x14ac:dyDescent="0.3">
      <c r="B29" s="90" t="s">
        <v>19</v>
      </c>
      <c r="C29" s="96">
        <f>IFERROR(AVERAGEIF(REFINED_DATA!$D:$D,DASHBOARD!B29,REFINED_DATA!$H:$H),"0")</f>
        <v>7.8266666666666662</v>
      </c>
      <c r="D29" s="96">
        <f>_xlfn.MAXIFS(REFINED_DATA!$H:$H,REFINED_DATA!$D:$D,DASHBOARD!B29)</f>
        <v>10.5</v>
      </c>
      <c r="E29" s="90" t="str">
        <f t="shared" ref="E29:E31" si="2">IF(C29&lt;=8,"✅ SLA Met","⚠ Breached SLA")</f>
        <v>✅ SLA Met</v>
      </c>
    </row>
    <row r="30" spans="2:8" x14ac:dyDescent="0.3">
      <c r="B30" s="90" t="s">
        <v>24</v>
      </c>
      <c r="C30" s="96">
        <f>IFERROR(AVERAGEIF(REFINED_DATA!$D:$D,DASHBOARD!B30,REFINED_DATA!$H:$H),"0")</f>
        <v>7.32</v>
      </c>
      <c r="D30" s="96">
        <f>_xlfn.MAXIFS(REFINED_DATA!$H:$H,REFINED_DATA!$D:$D,DASHBOARD!B30)</f>
        <v>11</v>
      </c>
      <c r="E30" s="90" t="str">
        <f t="shared" si="2"/>
        <v>✅ SLA Met</v>
      </c>
    </row>
    <row r="31" spans="2:8" x14ac:dyDescent="0.3">
      <c r="B31" s="90" t="s">
        <v>29</v>
      </c>
      <c r="C31" s="96">
        <f>IFERROR(AVERAGEIF(REFINED_DATA!$D:$D,DASHBOARD!B31,REFINED_DATA!$H:$H),"0")</f>
        <v>8.1090909090909093</v>
      </c>
      <c r="D31" s="96">
        <f>_xlfn.MAXIFS(REFINED_DATA!$H:$H,REFINED_DATA!$D:$D,DASHBOARD!B31)</f>
        <v>11.2</v>
      </c>
      <c r="E31" s="90" t="str">
        <f>IF(C31&lt;=8,"✅ SLA Met","⚠ SLA Breached")</f>
        <v>⚠ SLA Breached</v>
      </c>
    </row>
    <row r="33" spans="2:8" x14ac:dyDescent="0.3">
      <c r="B33" s="111" t="s">
        <v>202</v>
      </c>
      <c r="C33" s="111"/>
      <c r="D33" s="110"/>
    </row>
    <row r="40" spans="2:8" ht="19.95" customHeight="1" x14ac:dyDescent="0.3">
      <c r="B40" s="120" t="s">
        <v>203</v>
      </c>
      <c r="C40" s="121"/>
      <c r="D40" s="121"/>
      <c r="E40" s="121"/>
      <c r="F40" s="121"/>
      <c r="G40" s="121"/>
      <c r="H40" s="122"/>
    </row>
    <row r="41" spans="2:8" x14ac:dyDescent="0.3">
      <c r="B41" s="123" t="str">
        <f>"Team Accuracy: "&amp;TEXT(AVERAGEIF(REFINED_DATA!$C:$C,"&lt;&gt;",REFINED_DATA!$E:$E),"0.0%")&amp; " | Errors this period: " &amp;COUNTIF(REFINED_DATA!$E:$E,0) &amp;  " | SLA breaches: " &amp;COUNTIF(REFINED_DATA!$I:$I,"Breached")</f>
        <v>Team Accuracy: 81.8% | Errors this period: 10 | SLA breaches: 12</v>
      </c>
      <c r="C41" s="124"/>
      <c r="D41" s="124"/>
      <c r="E41" s="124"/>
      <c r="F41" s="124"/>
      <c r="G41" s="124"/>
      <c r="H41" s="125"/>
    </row>
    <row r="42" spans="2:8" x14ac:dyDescent="0.3">
      <c r="B42" s="126"/>
      <c r="C42" s="127"/>
      <c r="D42" s="127"/>
      <c r="E42" s="127"/>
      <c r="F42" s="127"/>
      <c r="G42" s="127"/>
      <c r="H42" s="128"/>
    </row>
  </sheetData>
  <sheetProtection selectLockedCells="1" selectUnlockedCells="1"/>
  <mergeCells count="9">
    <mergeCell ref="B41:H42"/>
    <mergeCell ref="B1:H1"/>
    <mergeCell ref="B2:H2"/>
    <mergeCell ref="B18:H18"/>
    <mergeCell ref="B26:H26"/>
    <mergeCell ref="B33:C33"/>
    <mergeCell ref="B40:H40"/>
    <mergeCell ref="B10:H10"/>
    <mergeCell ref="I4:J4"/>
  </mergeCells>
  <conditionalFormatting sqref="C12:C16">
    <cfRule type="cellIs" dxfId="3" priority="2" operator="greaterThan">
      <formula>0.85</formula>
    </cfRule>
    <cfRule type="cellIs" dxfId="4" priority="1" operator="lessThan">
      <formula>0.85</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J200"/>
  <sheetViews>
    <sheetView zoomScale="80" zoomScaleNormal="80" zoomScaleSheetLayoutView="50" workbookViewId="0">
      <pane ySplit="1" topLeftCell="A44" activePane="bottomLeft" state="frozen"/>
      <selection pane="bottomLeft" activeCell="R60" sqref="R60"/>
    </sheetView>
  </sheetViews>
  <sheetFormatPr defaultRowHeight="14.4" x14ac:dyDescent="0.3"/>
  <cols>
    <col min="1" max="1" width="10" customWidth="1"/>
    <col min="2" max="2" width="12" style="1" customWidth="1"/>
    <col min="3" max="3" width="13" style="1" customWidth="1"/>
    <col min="4" max="4" width="16" customWidth="1"/>
    <col min="5" max="5" width="12" customWidth="1"/>
    <col min="6" max="6" width="16" customWidth="1"/>
    <col min="7" max="7" width="12" customWidth="1"/>
    <col min="8" max="8" width="18" customWidth="1"/>
    <col min="9" max="9" width="14" customWidth="1"/>
    <col min="10" max="10" width="12" customWidth="1"/>
  </cols>
  <sheetData>
    <row r="1" spans="1:10" x14ac:dyDescent="0.3">
      <c r="A1" s="2" t="s">
        <v>0</v>
      </c>
      <c r="B1" s="3" t="s">
        <v>1</v>
      </c>
      <c r="C1" s="3" t="s">
        <v>2</v>
      </c>
      <c r="D1" s="2" t="s">
        <v>3</v>
      </c>
      <c r="E1" s="2" t="s">
        <v>4</v>
      </c>
      <c r="F1" s="2" t="s">
        <v>5</v>
      </c>
      <c r="G1" s="2" t="s">
        <v>6</v>
      </c>
      <c r="H1" s="2" t="s">
        <v>7</v>
      </c>
      <c r="I1" s="2" t="s">
        <v>8</v>
      </c>
      <c r="J1" s="2" t="s">
        <v>9</v>
      </c>
    </row>
    <row r="2" spans="1:10" x14ac:dyDescent="0.3">
      <c r="A2" s="4" t="s">
        <v>10</v>
      </c>
      <c r="B2" s="5" t="s">
        <v>11</v>
      </c>
      <c r="C2" s="5" t="s">
        <v>12</v>
      </c>
      <c r="D2" s="4" t="s">
        <v>13</v>
      </c>
      <c r="E2" s="4" t="s">
        <v>14</v>
      </c>
      <c r="F2" s="4" t="s">
        <v>15</v>
      </c>
      <c r="G2" s="4">
        <v>1</v>
      </c>
      <c r="H2" s="4"/>
      <c r="I2" s="4">
        <v>6.5</v>
      </c>
      <c r="J2" s="4"/>
    </row>
    <row r="3" spans="1:10" x14ac:dyDescent="0.3">
      <c r="A3" s="4" t="s">
        <v>16</v>
      </c>
      <c r="B3" s="5" t="s">
        <v>11</v>
      </c>
      <c r="C3" s="5" t="s">
        <v>12</v>
      </c>
      <c r="D3" s="4" t="s">
        <v>17</v>
      </c>
      <c r="E3" s="4" t="s">
        <v>18</v>
      </c>
      <c r="F3" s="4" t="s">
        <v>19</v>
      </c>
      <c r="G3" s="4">
        <v>1</v>
      </c>
      <c r="H3" s="4"/>
      <c r="I3" s="4">
        <v>9.1999999999999993</v>
      </c>
      <c r="J3" s="4"/>
    </row>
    <row r="4" spans="1:10" x14ac:dyDescent="0.3">
      <c r="A4" s="4" t="s">
        <v>20</v>
      </c>
      <c r="B4" s="5" t="s">
        <v>21</v>
      </c>
      <c r="C4" s="5" t="s">
        <v>12</v>
      </c>
      <c r="D4" s="4" t="s">
        <v>22</v>
      </c>
      <c r="E4" s="4" t="s">
        <v>23</v>
      </c>
      <c r="F4" s="4" t="s">
        <v>24</v>
      </c>
      <c r="G4" s="4">
        <v>0</v>
      </c>
      <c r="H4" s="4" t="s">
        <v>25</v>
      </c>
      <c r="I4" s="4">
        <v>7.8</v>
      </c>
      <c r="J4" s="4"/>
    </row>
    <row r="5" spans="1:10" x14ac:dyDescent="0.3">
      <c r="A5" s="4" t="s">
        <v>26</v>
      </c>
      <c r="B5" s="5" t="s">
        <v>21</v>
      </c>
      <c r="C5" s="5" t="s">
        <v>12</v>
      </c>
      <c r="D5" s="4" t="s">
        <v>27</v>
      </c>
      <c r="E5" s="4" t="s">
        <v>28</v>
      </c>
      <c r="F5" s="4" t="s">
        <v>29</v>
      </c>
      <c r="G5" s="4">
        <v>1</v>
      </c>
      <c r="H5" s="4"/>
      <c r="I5" s="4">
        <v>5.5</v>
      </c>
      <c r="J5" s="4"/>
    </row>
    <row r="6" spans="1:10" x14ac:dyDescent="0.3">
      <c r="A6" s="4" t="s">
        <v>30</v>
      </c>
      <c r="B6" s="5" t="s">
        <v>31</v>
      </c>
      <c r="C6" s="5" t="s">
        <v>12</v>
      </c>
      <c r="D6" s="4" t="s">
        <v>32</v>
      </c>
      <c r="E6" s="4" t="s">
        <v>33</v>
      </c>
      <c r="F6" s="4" t="s">
        <v>15</v>
      </c>
      <c r="G6" s="4">
        <v>1</v>
      </c>
      <c r="H6" s="4"/>
      <c r="I6" s="4">
        <v>7.2</v>
      </c>
      <c r="J6" s="4"/>
    </row>
    <row r="7" spans="1:10" x14ac:dyDescent="0.3">
      <c r="A7" s="4" t="s">
        <v>34</v>
      </c>
      <c r="B7" s="5" t="s">
        <v>31</v>
      </c>
      <c r="C7" s="5" t="s">
        <v>12</v>
      </c>
      <c r="D7" s="4" t="s">
        <v>13</v>
      </c>
      <c r="E7" s="4" t="s">
        <v>35</v>
      </c>
      <c r="F7" s="4" t="s">
        <v>15</v>
      </c>
      <c r="G7" s="4">
        <v>0</v>
      </c>
      <c r="H7" s="4" t="s">
        <v>36</v>
      </c>
      <c r="I7" s="4">
        <v>8.5</v>
      </c>
      <c r="J7" s="4"/>
    </row>
    <row r="8" spans="1:10" x14ac:dyDescent="0.3">
      <c r="A8" s="4" t="s">
        <v>37</v>
      </c>
      <c r="B8" s="5" t="s">
        <v>38</v>
      </c>
      <c r="C8" s="5" t="s">
        <v>12</v>
      </c>
      <c r="D8" s="4" t="s">
        <v>17</v>
      </c>
      <c r="E8" s="4" t="s">
        <v>39</v>
      </c>
      <c r="F8" s="4" t="s">
        <v>15</v>
      </c>
      <c r="G8" s="4">
        <v>1</v>
      </c>
      <c r="H8" s="4"/>
      <c r="I8" s="4">
        <v>6</v>
      </c>
      <c r="J8" s="4"/>
    </row>
    <row r="9" spans="1:10" x14ac:dyDescent="0.3">
      <c r="A9" s="4" t="s">
        <v>40</v>
      </c>
      <c r="B9" s="5" t="s">
        <v>38</v>
      </c>
      <c r="C9" s="5" t="s">
        <v>12</v>
      </c>
      <c r="D9" s="4" t="s">
        <v>22</v>
      </c>
      <c r="E9" s="4" t="s">
        <v>41</v>
      </c>
      <c r="F9" s="4" t="s">
        <v>19</v>
      </c>
      <c r="G9" s="4">
        <v>1</v>
      </c>
      <c r="H9" s="4"/>
      <c r="I9" s="4">
        <v>7.3</v>
      </c>
      <c r="J9" s="4"/>
    </row>
    <row r="10" spans="1:10" x14ac:dyDescent="0.3">
      <c r="A10" s="4" t="s">
        <v>42</v>
      </c>
      <c r="B10" s="5" t="s">
        <v>43</v>
      </c>
      <c r="C10" s="5" t="s">
        <v>12</v>
      </c>
      <c r="D10" s="4" t="s">
        <v>27</v>
      </c>
      <c r="E10" s="4" t="s">
        <v>44</v>
      </c>
      <c r="F10" s="4" t="s">
        <v>24</v>
      </c>
      <c r="G10" s="4">
        <v>1</v>
      </c>
      <c r="H10" s="4"/>
      <c r="I10" s="4">
        <v>6.8</v>
      </c>
      <c r="J10" s="4"/>
    </row>
    <row r="11" spans="1:10" x14ac:dyDescent="0.3">
      <c r="A11" s="4" t="s">
        <v>45</v>
      </c>
      <c r="B11" s="5" t="s">
        <v>43</v>
      </c>
      <c r="C11" s="5" t="s">
        <v>12</v>
      </c>
      <c r="D11" s="4" t="s">
        <v>32</v>
      </c>
      <c r="E11" s="4" t="s">
        <v>46</v>
      </c>
      <c r="F11" s="4" t="s">
        <v>15</v>
      </c>
      <c r="G11" s="4">
        <v>0</v>
      </c>
      <c r="H11" s="4" t="s">
        <v>47</v>
      </c>
      <c r="I11" s="4">
        <v>6.2</v>
      </c>
      <c r="J11" s="4"/>
    </row>
    <row r="12" spans="1:10" x14ac:dyDescent="0.3">
      <c r="A12" s="4" t="s">
        <v>48</v>
      </c>
      <c r="B12" s="5" t="s">
        <v>49</v>
      </c>
      <c r="C12" s="5" t="s">
        <v>50</v>
      </c>
      <c r="D12" s="4" t="s">
        <v>13</v>
      </c>
      <c r="E12" s="4" t="s">
        <v>51</v>
      </c>
      <c r="F12" s="4" t="s">
        <v>19</v>
      </c>
      <c r="G12" s="4">
        <v>1</v>
      </c>
      <c r="H12" s="4"/>
      <c r="I12" s="4">
        <v>6.3</v>
      </c>
      <c r="J12" s="4"/>
    </row>
    <row r="13" spans="1:10" x14ac:dyDescent="0.3">
      <c r="A13" s="4" t="s">
        <v>52</v>
      </c>
      <c r="B13" s="5" t="s">
        <v>53</v>
      </c>
      <c r="C13" s="5" t="s">
        <v>50</v>
      </c>
      <c r="D13" s="4" t="s">
        <v>17</v>
      </c>
      <c r="E13" s="4" t="s">
        <v>54</v>
      </c>
      <c r="F13" s="4" t="s">
        <v>24</v>
      </c>
      <c r="G13" s="4">
        <v>1</v>
      </c>
      <c r="H13" s="4"/>
      <c r="I13" s="4">
        <v>7</v>
      </c>
      <c r="J13" s="4"/>
    </row>
    <row r="14" spans="1:10" x14ac:dyDescent="0.3">
      <c r="A14" s="4" t="s">
        <v>55</v>
      </c>
      <c r="B14" s="5" t="s">
        <v>53</v>
      </c>
      <c r="C14" s="5" t="s">
        <v>50</v>
      </c>
      <c r="D14" s="4" t="s">
        <v>22</v>
      </c>
      <c r="E14" s="4" t="s">
        <v>56</v>
      </c>
      <c r="F14" s="4" t="s">
        <v>15</v>
      </c>
      <c r="G14" s="4">
        <v>0</v>
      </c>
      <c r="H14" s="4" t="s">
        <v>25</v>
      </c>
      <c r="I14" s="4">
        <v>6.5</v>
      </c>
      <c r="J14" s="4"/>
    </row>
    <row r="15" spans="1:10" x14ac:dyDescent="0.3">
      <c r="A15" s="4" t="s">
        <v>57</v>
      </c>
      <c r="B15" s="5" t="s">
        <v>58</v>
      </c>
      <c r="C15" s="5" t="s">
        <v>50</v>
      </c>
      <c r="D15" s="4" t="s">
        <v>27</v>
      </c>
      <c r="E15" s="4" t="s">
        <v>59</v>
      </c>
      <c r="F15" s="4" t="s">
        <v>29</v>
      </c>
      <c r="G15" s="4">
        <v>1</v>
      </c>
      <c r="H15" s="4"/>
      <c r="I15" s="4">
        <v>8.1999999999999993</v>
      </c>
      <c r="J15" s="4"/>
    </row>
    <row r="16" spans="1:10" x14ac:dyDescent="0.3">
      <c r="A16" s="4" t="s">
        <v>60</v>
      </c>
      <c r="B16" s="5" t="s">
        <v>58</v>
      </c>
      <c r="C16" s="5" t="s">
        <v>50</v>
      </c>
      <c r="D16" s="4" t="s">
        <v>32</v>
      </c>
      <c r="E16" s="4" t="s">
        <v>61</v>
      </c>
      <c r="F16" s="4" t="s">
        <v>19</v>
      </c>
      <c r="G16" s="4">
        <v>1</v>
      </c>
      <c r="H16" s="4"/>
      <c r="I16" s="4">
        <v>7.6</v>
      </c>
      <c r="J16" s="4"/>
    </row>
    <row r="17" spans="1:10" x14ac:dyDescent="0.3">
      <c r="A17" s="4" t="s">
        <v>62</v>
      </c>
      <c r="B17" s="5" t="s">
        <v>63</v>
      </c>
      <c r="C17" s="5" t="s">
        <v>50</v>
      </c>
      <c r="D17" s="4" t="s">
        <v>13</v>
      </c>
      <c r="E17" s="4" t="s">
        <v>64</v>
      </c>
      <c r="F17" s="4" t="s">
        <v>15</v>
      </c>
      <c r="G17" s="4">
        <v>1</v>
      </c>
      <c r="H17" s="4"/>
      <c r="I17" s="4">
        <v>6.5</v>
      </c>
      <c r="J17" s="4"/>
    </row>
    <row r="18" spans="1:10" x14ac:dyDescent="0.3">
      <c r="A18" s="4" t="s">
        <v>65</v>
      </c>
      <c r="B18" s="5" t="s">
        <v>66</v>
      </c>
      <c r="C18" s="5" t="s">
        <v>50</v>
      </c>
      <c r="D18" s="4" t="s">
        <v>17</v>
      </c>
      <c r="E18" s="4" t="s">
        <v>67</v>
      </c>
      <c r="F18" s="4" t="s">
        <v>29</v>
      </c>
      <c r="G18" s="4">
        <v>0</v>
      </c>
      <c r="H18" s="4" t="s">
        <v>36</v>
      </c>
      <c r="I18" s="4">
        <v>7.3</v>
      </c>
      <c r="J18" s="4"/>
    </row>
    <row r="19" spans="1:10" x14ac:dyDescent="0.3">
      <c r="A19" s="4" t="s">
        <v>68</v>
      </c>
      <c r="B19" s="5" t="s">
        <v>69</v>
      </c>
      <c r="C19" s="5" t="s">
        <v>50</v>
      </c>
      <c r="D19" s="4" t="s">
        <v>22</v>
      </c>
      <c r="E19" s="4" t="s">
        <v>70</v>
      </c>
      <c r="F19" s="4" t="s">
        <v>24</v>
      </c>
      <c r="G19" s="4">
        <v>1</v>
      </c>
      <c r="H19" s="4"/>
      <c r="I19" s="4">
        <v>8.8000000000000007</v>
      </c>
      <c r="J19" s="4"/>
    </row>
    <row r="20" spans="1:10" x14ac:dyDescent="0.3">
      <c r="A20" s="4" t="s">
        <v>71</v>
      </c>
      <c r="B20" s="5" t="s">
        <v>69</v>
      </c>
      <c r="C20" s="5" t="s">
        <v>50</v>
      </c>
      <c r="D20" s="4" t="s">
        <v>27</v>
      </c>
      <c r="E20" s="4" t="s">
        <v>72</v>
      </c>
      <c r="F20" s="4" t="s">
        <v>15</v>
      </c>
      <c r="G20" s="4">
        <v>1</v>
      </c>
      <c r="H20" s="4"/>
      <c r="I20" s="4">
        <v>6.8</v>
      </c>
      <c r="J20" s="4"/>
    </row>
    <row r="21" spans="1:10" x14ac:dyDescent="0.3">
      <c r="A21" s="4" t="s">
        <v>73</v>
      </c>
      <c r="B21" s="5" t="s">
        <v>50</v>
      </c>
      <c r="C21" s="5" t="s">
        <v>50</v>
      </c>
      <c r="D21" s="4" t="s">
        <v>32</v>
      </c>
      <c r="E21" s="4" t="s">
        <v>74</v>
      </c>
      <c r="F21" s="4" t="s">
        <v>29</v>
      </c>
      <c r="G21" s="4">
        <v>1</v>
      </c>
      <c r="H21" s="4"/>
      <c r="I21" s="4">
        <v>8.1999999999999993</v>
      </c>
      <c r="J21" s="4"/>
    </row>
    <row r="22" spans="1:10" x14ac:dyDescent="0.3">
      <c r="A22" s="4" t="s">
        <v>75</v>
      </c>
      <c r="B22" s="5" t="s">
        <v>76</v>
      </c>
      <c r="C22" s="5" t="s">
        <v>77</v>
      </c>
      <c r="D22" s="4" t="s">
        <v>13</v>
      </c>
      <c r="E22" s="4" t="s">
        <v>78</v>
      </c>
      <c r="F22" s="4" t="s">
        <v>24</v>
      </c>
      <c r="G22" s="4">
        <v>1</v>
      </c>
      <c r="H22" s="4"/>
      <c r="I22" s="4">
        <v>5.8</v>
      </c>
      <c r="J22" s="4"/>
    </row>
    <row r="23" spans="1:10" x14ac:dyDescent="0.3">
      <c r="A23" s="4" t="s">
        <v>79</v>
      </c>
      <c r="B23" s="5" t="s">
        <v>76</v>
      </c>
      <c r="C23" s="5" t="s">
        <v>77</v>
      </c>
      <c r="D23" s="4" t="s">
        <v>17</v>
      </c>
      <c r="E23" s="4" t="s">
        <v>80</v>
      </c>
      <c r="F23" s="4" t="s">
        <v>19</v>
      </c>
      <c r="G23" s="4">
        <v>1</v>
      </c>
      <c r="H23" s="4"/>
      <c r="I23" s="4">
        <v>6</v>
      </c>
      <c r="J23" s="4"/>
    </row>
    <row r="24" spans="1:10" x14ac:dyDescent="0.3">
      <c r="A24" s="4" t="s">
        <v>81</v>
      </c>
      <c r="B24" s="5" t="s">
        <v>82</v>
      </c>
      <c r="C24" s="5" t="s">
        <v>77</v>
      </c>
      <c r="D24" s="4" t="s">
        <v>22</v>
      </c>
      <c r="E24" s="4" t="s">
        <v>83</v>
      </c>
      <c r="F24" s="4" t="s">
        <v>29</v>
      </c>
      <c r="G24" s="4">
        <v>0</v>
      </c>
      <c r="H24" s="4" t="s">
        <v>84</v>
      </c>
      <c r="I24" s="4">
        <v>7.1</v>
      </c>
      <c r="J24" s="4"/>
    </row>
    <row r="25" spans="1:10" x14ac:dyDescent="0.3">
      <c r="A25" s="4" t="s">
        <v>85</v>
      </c>
      <c r="B25" s="5" t="s">
        <v>82</v>
      </c>
      <c r="C25" s="5" t="s">
        <v>77</v>
      </c>
      <c r="D25" s="4" t="s">
        <v>27</v>
      </c>
      <c r="E25" s="4" t="s">
        <v>86</v>
      </c>
      <c r="F25" s="4" t="s">
        <v>15</v>
      </c>
      <c r="G25" s="4">
        <v>0</v>
      </c>
      <c r="H25" s="4" t="s">
        <v>25</v>
      </c>
      <c r="I25" s="4">
        <v>9.1999999999999993</v>
      </c>
      <c r="J25" s="4"/>
    </row>
    <row r="26" spans="1:10" x14ac:dyDescent="0.3">
      <c r="A26" s="4" t="s">
        <v>87</v>
      </c>
      <c r="B26" s="5" t="s">
        <v>88</v>
      </c>
      <c r="C26" s="5" t="s">
        <v>77</v>
      </c>
      <c r="D26" s="4" t="s">
        <v>32</v>
      </c>
      <c r="E26" s="4" t="s">
        <v>89</v>
      </c>
      <c r="F26" s="4" t="s">
        <v>24</v>
      </c>
      <c r="G26" s="4">
        <v>1</v>
      </c>
      <c r="H26" s="4"/>
      <c r="I26" s="4">
        <v>6</v>
      </c>
      <c r="J26" s="4"/>
    </row>
    <row r="27" spans="1:10" x14ac:dyDescent="0.3">
      <c r="A27" s="4" t="s">
        <v>90</v>
      </c>
      <c r="B27" s="5" t="s">
        <v>88</v>
      </c>
      <c r="C27" s="5" t="s">
        <v>77</v>
      </c>
      <c r="D27" s="4" t="s">
        <v>13</v>
      </c>
      <c r="E27" s="4" t="s">
        <v>91</v>
      </c>
      <c r="F27" s="4" t="s">
        <v>19</v>
      </c>
      <c r="G27" s="4">
        <v>1</v>
      </c>
      <c r="H27" s="4"/>
      <c r="I27" s="4">
        <v>7.5</v>
      </c>
      <c r="J27" s="4"/>
    </row>
    <row r="28" spans="1:10" x14ac:dyDescent="0.3">
      <c r="A28" s="4" t="s">
        <v>92</v>
      </c>
      <c r="B28" s="5" t="s">
        <v>93</v>
      </c>
      <c r="C28" s="5" t="s">
        <v>77</v>
      </c>
      <c r="D28" s="4" t="s">
        <v>17</v>
      </c>
      <c r="E28" s="4" t="s">
        <v>94</v>
      </c>
      <c r="F28" s="4" t="s">
        <v>15</v>
      </c>
      <c r="G28" s="4">
        <v>1</v>
      </c>
      <c r="H28" s="4"/>
      <c r="I28" s="4">
        <v>6.5</v>
      </c>
      <c r="J28" s="4"/>
    </row>
    <row r="29" spans="1:10" x14ac:dyDescent="0.3">
      <c r="A29" s="4" t="s">
        <v>95</v>
      </c>
      <c r="B29" s="5" t="s">
        <v>93</v>
      </c>
      <c r="C29" s="5" t="s">
        <v>77</v>
      </c>
      <c r="D29" s="4" t="s">
        <v>22</v>
      </c>
      <c r="E29" s="4" t="s">
        <v>96</v>
      </c>
      <c r="F29" s="4" t="s">
        <v>29</v>
      </c>
      <c r="G29" s="4">
        <v>0</v>
      </c>
      <c r="H29" s="4" t="s">
        <v>97</v>
      </c>
      <c r="I29" s="4">
        <v>9.5</v>
      </c>
      <c r="J29" s="4"/>
    </row>
    <row r="30" spans="1:10" x14ac:dyDescent="0.3">
      <c r="A30" s="4" t="s">
        <v>98</v>
      </c>
      <c r="B30" s="5" t="s">
        <v>99</v>
      </c>
      <c r="C30" s="5" t="s">
        <v>77</v>
      </c>
      <c r="D30" s="4" t="s">
        <v>27</v>
      </c>
      <c r="E30" s="4" t="s">
        <v>100</v>
      </c>
      <c r="F30" s="4" t="s">
        <v>19</v>
      </c>
      <c r="G30" s="4">
        <v>1</v>
      </c>
      <c r="H30" s="4"/>
      <c r="I30" s="4">
        <v>7.8</v>
      </c>
      <c r="J30" s="4"/>
    </row>
    <row r="31" spans="1:10" x14ac:dyDescent="0.3">
      <c r="A31" s="4" t="s">
        <v>101</v>
      </c>
      <c r="B31" s="5" t="s">
        <v>99</v>
      </c>
      <c r="C31" s="5" t="s">
        <v>77</v>
      </c>
      <c r="D31" s="4" t="s">
        <v>32</v>
      </c>
      <c r="E31" s="4" t="s">
        <v>102</v>
      </c>
      <c r="F31" s="4" t="s">
        <v>15</v>
      </c>
      <c r="G31" s="4">
        <v>0</v>
      </c>
      <c r="H31" s="4" t="s">
        <v>36</v>
      </c>
      <c r="I31" s="4">
        <v>10.199999999999999</v>
      </c>
      <c r="J31" s="4"/>
    </row>
    <row r="32" spans="1:10" x14ac:dyDescent="0.3">
      <c r="A32" s="4" t="s">
        <v>103</v>
      </c>
      <c r="B32" s="5" t="s">
        <v>104</v>
      </c>
      <c r="C32" s="5" t="s">
        <v>77</v>
      </c>
      <c r="D32" s="4" t="s">
        <v>13</v>
      </c>
      <c r="E32" s="4" t="s">
        <v>105</v>
      </c>
      <c r="F32" s="4" t="s">
        <v>29</v>
      </c>
      <c r="G32" s="4">
        <v>1</v>
      </c>
      <c r="H32" s="4"/>
      <c r="I32" s="4">
        <v>6.8</v>
      </c>
      <c r="J32" s="4"/>
    </row>
    <row r="33" spans="1:10" x14ac:dyDescent="0.3">
      <c r="A33" s="4" t="s">
        <v>106</v>
      </c>
      <c r="B33" s="5" t="s">
        <v>104</v>
      </c>
      <c r="C33" s="5" t="s">
        <v>77</v>
      </c>
      <c r="D33" s="4" t="s">
        <v>17</v>
      </c>
      <c r="E33" s="4" t="s">
        <v>107</v>
      </c>
      <c r="F33" s="4" t="s">
        <v>24</v>
      </c>
      <c r="G33" s="4">
        <v>1</v>
      </c>
      <c r="H33" s="4"/>
      <c r="I33" s="4">
        <v>5.2</v>
      </c>
      <c r="J33" s="4"/>
    </row>
    <row r="34" spans="1:10" x14ac:dyDescent="0.3">
      <c r="A34" s="4" t="s">
        <v>108</v>
      </c>
      <c r="B34" s="5" t="s">
        <v>104</v>
      </c>
      <c r="C34" s="5" t="s">
        <v>77</v>
      </c>
      <c r="D34" s="4" t="s">
        <v>22</v>
      </c>
      <c r="E34" s="4" t="s">
        <v>109</v>
      </c>
      <c r="F34" s="4" t="s">
        <v>15</v>
      </c>
      <c r="G34" s="4">
        <v>1</v>
      </c>
      <c r="H34" s="4"/>
      <c r="I34" s="4">
        <v>6.3</v>
      </c>
      <c r="J34" s="4"/>
    </row>
    <row r="35" spans="1:10" x14ac:dyDescent="0.3">
      <c r="A35" s="4" t="s">
        <v>110</v>
      </c>
      <c r="B35" s="5" t="s">
        <v>77</v>
      </c>
      <c r="C35" s="5" t="s">
        <v>77</v>
      </c>
      <c r="D35" s="4" t="s">
        <v>27</v>
      </c>
      <c r="E35" s="4" t="s">
        <v>111</v>
      </c>
      <c r="F35" s="4" t="s">
        <v>19</v>
      </c>
      <c r="G35" s="4">
        <v>1</v>
      </c>
      <c r="H35" s="4"/>
      <c r="I35" s="4">
        <v>10.5</v>
      </c>
      <c r="J35" s="4"/>
    </row>
    <row r="36" spans="1:10" x14ac:dyDescent="0.3">
      <c r="A36" s="4" t="s">
        <v>112</v>
      </c>
      <c r="B36" s="5" t="s">
        <v>77</v>
      </c>
      <c r="C36" s="5" t="s">
        <v>77</v>
      </c>
      <c r="D36" s="4" t="s">
        <v>13</v>
      </c>
      <c r="E36" s="4" t="s">
        <v>113</v>
      </c>
      <c r="F36" s="4" t="s">
        <v>15</v>
      </c>
      <c r="G36" s="4">
        <v>1</v>
      </c>
      <c r="H36" s="4"/>
      <c r="I36" s="4">
        <v>7.3</v>
      </c>
      <c r="J36" s="4"/>
    </row>
    <row r="37" spans="1:10" x14ac:dyDescent="0.3">
      <c r="A37" s="4" t="s">
        <v>114</v>
      </c>
      <c r="B37" s="5" t="s">
        <v>77</v>
      </c>
      <c r="C37" s="5" t="s">
        <v>77</v>
      </c>
      <c r="D37" s="4" t="s">
        <v>32</v>
      </c>
      <c r="E37" s="4" t="s">
        <v>115</v>
      </c>
      <c r="F37" s="4" t="s">
        <v>29</v>
      </c>
      <c r="G37" s="4">
        <v>1</v>
      </c>
      <c r="H37" s="4"/>
      <c r="I37" s="4">
        <v>5.8</v>
      </c>
      <c r="J37" s="4"/>
    </row>
    <row r="38" spans="1:10" x14ac:dyDescent="0.3">
      <c r="A38" s="4" t="s">
        <v>116</v>
      </c>
      <c r="B38" s="5" t="s">
        <v>117</v>
      </c>
      <c r="C38" s="5" t="s">
        <v>118</v>
      </c>
      <c r="D38" s="4" t="s">
        <v>13</v>
      </c>
      <c r="E38" s="4" t="s">
        <v>119</v>
      </c>
      <c r="F38" s="4" t="s">
        <v>19</v>
      </c>
      <c r="G38" s="4">
        <v>0</v>
      </c>
      <c r="H38" s="4" t="s">
        <v>47</v>
      </c>
      <c r="I38" s="4">
        <v>7.6</v>
      </c>
      <c r="J38" s="4"/>
    </row>
    <row r="39" spans="1:10" x14ac:dyDescent="0.3">
      <c r="A39" s="4" t="s">
        <v>120</v>
      </c>
      <c r="B39" s="5" t="s">
        <v>117</v>
      </c>
      <c r="C39" s="5" t="s">
        <v>118</v>
      </c>
      <c r="D39" s="4" t="s">
        <v>17</v>
      </c>
      <c r="E39" s="4" t="s">
        <v>121</v>
      </c>
      <c r="F39" s="4" t="s">
        <v>15</v>
      </c>
      <c r="G39" s="4">
        <v>1</v>
      </c>
      <c r="H39" s="4"/>
      <c r="I39" s="4">
        <v>8.5</v>
      </c>
      <c r="J39" s="4"/>
    </row>
    <row r="40" spans="1:10" x14ac:dyDescent="0.3">
      <c r="A40" s="4" t="s">
        <v>122</v>
      </c>
      <c r="B40" s="5" t="s">
        <v>123</v>
      </c>
      <c r="C40" s="5" t="s">
        <v>118</v>
      </c>
      <c r="D40" s="4" t="s">
        <v>22</v>
      </c>
      <c r="E40" s="4" t="s">
        <v>124</v>
      </c>
      <c r="F40" s="4" t="s">
        <v>24</v>
      </c>
      <c r="G40" s="4">
        <v>1</v>
      </c>
      <c r="H40" s="4"/>
      <c r="I40" s="4">
        <v>11</v>
      </c>
      <c r="J40" s="4"/>
    </row>
    <row r="41" spans="1:10" x14ac:dyDescent="0.3">
      <c r="A41" s="4" t="s">
        <v>125</v>
      </c>
      <c r="B41" s="5" t="s">
        <v>123</v>
      </c>
      <c r="C41" s="5" t="s">
        <v>118</v>
      </c>
      <c r="D41" s="4" t="s">
        <v>27</v>
      </c>
      <c r="E41" s="4" t="s">
        <v>126</v>
      </c>
      <c r="F41" s="4" t="s">
        <v>29</v>
      </c>
      <c r="G41" s="4">
        <v>1</v>
      </c>
      <c r="H41" s="4"/>
      <c r="I41" s="4">
        <v>11.2</v>
      </c>
      <c r="J41" s="4"/>
    </row>
    <row r="42" spans="1:10" x14ac:dyDescent="0.3">
      <c r="A42" s="4" t="s">
        <v>127</v>
      </c>
      <c r="B42" s="5" t="s">
        <v>128</v>
      </c>
      <c r="C42" s="5" t="s">
        <v>118</v>
      </c>
      <c r="D42" s="4" t="s">
        <v>32</v>
      </c>
      <c r="E42" s="4" t="s">
        <v>129</v>
      </c>
      <c r="F42" s="4" t="s">
        <v>15</v>
      </c>
      <c r="G42" s="4">
        <v>1</v>
      </c>
      <c r="H42" s="4"/>
      <c r="I42" s="4">
        <v>7</v>
      </c>
      <c r="J42" s="4"/>
    </row>
    <row r="43" spans="1:10" x14ac:dyDescent="0.3">
      <c r="A43" s="4" t="s">
        <v>130</v>
      </c>
      <c r="B43" s="5" t="s">
        <v>128</v>
      </c>
      <c r="C43" s="5" t="s">
        <v>118</v>
      </c>
      <c r="D43" s="4" t="s">
        <v>13</v>
      </c>
      <c r="E43" s="4" t="s">
        <v>131</v>
      </c>
      <c r="F43" s="4" t="s">
        <v>24</v>
      </c>
      <c r="G43" s="4">
        <v>1</v>
      </c>
      <c r="H43" s="4"/>
      <c r="I43" s="4">
        <v>5.2</v>
      </c>
      <c r="J43" s="4"/>
    </row>
    <row r="44" spans="1:10" x14ac:dyDescent="0.3">
      <c r="A44" s="4" t="s">
        <v>132</v>
      </c>
      <c r="B44" s="5" t="s">
        <v>133</v>
      </c>
      <c r="C44" s="5" t="s">
        <v>118</v>
      </c>
      <c r="D44" s="4" t="s">
        <v>17</v>
      </c>
      <c r="E44" s="4" t="s">
        <v>134</v>
      </c>
      <c r="F44" s="4" t="s">
        <v>19</v>
      </c>
      <c r="G44" s="4">
        <v>1</v>
      </c>
      <c r="H44" s="4"/>
      <c r="I44" s="4">
        <v>6</v>
      </c>
      <c r="J44" s="4"/>
    </row>
    <row r="45" spans="1:10" x14ac:dyDescent="0.3">
      <c r="A45" s="4" t="s">
        <v>135</v>
      </c>
      <c r="B45" s="5" t="s">
        <v>133</v>
      </c>
      <c r="C45" s="5" t="s">
        <v>118</v>
      </c>
      <c r="D45" s="4" t="s">
        <v>22</v>
      </c>
      <c r="E45" s="4" t="s">
        <v>136</v>
      </c>
      <c r="F45" s="4" t="s">
        <v>29</v>
      </c>
      <c r="G45" s="4">
        <v>1</v>
      </c>
      <c r="H45" s="4"/>
      <c r="I45" s="4">
        <v>7.5</v>
      </c>
      <c r="J45" s="4"/>
    </row>
    <row r="46" spans="1:10" x14ac:dyDescent="0.3">
      <c r="A46" s="4" t="s">
        <v>137</v>
      </c>
      <c r="B46" s="5" t="s">
        <v>138</v>
      </c>
      <c r="C46" s="5" t="s">
        <v>118</v>
      </c>
      <c r="D46" s="4" t="s">
        <v>27</v>
      </c>
      <c r="E46" s="4" t="s">
        <v>139</v>
      </c>
      <c r="F46" s="4" t="s">
        <v>15</v>
      </c>
      <c r="G46" s="4">
        <v>1</v>
      </c>
      <c r="H46" s="4"/>
      <c r="I46" s="4">
        <v>6.8</v>
      </c>
      <c r="J46" s="4"/>
    </row>
    <row r="47" spans="1:10" x14ac:dyDescent="0.3">
      <c r="A47" s="4" t="s">
        <v>140</v>
      </c>
      <c r="B47" s="5" t="s">
        <v>138</v>
      </c>
      <c r="C47" s="5" t="s">
        <v>118</v>
      </c>
      <c r="D47" s="4" t="s">
        <v>32</v>
      </c>
      <c r="E47" s="4" t="s">
        <v>141</v>
      </c>
      <c r="F47" s="4" t="s">
        <v>19</v>
      </c>
      <c r="G47" s="4">
        <v>1</v>
      </c>
      <c r="H47" s="4"/>
      <c r="I47" s="4">
        <v>5.6</v>
      </c>
      <c r="J47" s="4"/>
    </row>
    <row r="48" spans="1:10" x14ac:dyDescent="0.3">
      <c r="A48" s="4" t="s">
        <v>142</v>
      </c>
      <c r="B48" s="5" t="s">
        <v>143</v>
      </c>
      <c r="C48" s="5" t="s">
        <v>118</v>
      </c>
      <c r="D48" s="4" t="s">
        <v>13</v>
      </c>
      <c r="E48" s="4" t="s">
        <v>144</v>
      </c>
      <c r="F48" s="4" t="s">
        <v>29</v>
      </c>
      <c r="G48" s="4">
        <v>1</v>
      </c>
      <c r="H48" s="4"/>
      <c r="I48" s="4">
        <v>6.5</v>
      </c>
      <c r="J48" s="4"/>
    </row>
    <row r="49" spans="1:10" x14ac:dyDescent="0.3">
      <c r="A49" s="4" t="s">
        <v>145</v>
      </c>
      <c r="B49" s="5" t="s">
        <v>143</v>
      </c>
      <c r="C49" s="5" t="s">
        <v>118</v>
      </c>
      <c r="D49" s="4" t="s">
        <v>17</v>
      </c>
      <c r="E49" s="4" t="s">
        <v>146</v>
      </c>
      <c r="F49" s="4" t="s">
        <v>24</v>
      </c>
      <c r="G49" s="4">
        <v>1</v>
      </c>
      <c r="H49" s="4"/>
      <c r="I49" s="4">
        <v>7.8</v>
      </c>
      <c r="J49" s="4"/>
    </row>
    <row r="50" spans="1:10" x14ac:dyDescent="0.3">
      <c r="A50" s="4" t="s">
        <v>147</v>
      </c>
      <c r="B50" s="5" t="s">
        <v>118</v>
      </c>
      <c r="C50" s="5" t="s">
        <v>118</v>
      </c>
      <c r="D50" s="4" t="s">
        <v>22</v>
      </c>
      <c r="E50" s="4" t="s">
        <v>148</v>
      </c>
      <c r="F50" s="4" t="s">
        <v>19</v>
      </c>
      <c r="G50" s="4">
        <v>1</v>
      </c>
      <c r="H50" s="4"/>
      <c r="I50" s="4">
        <v>5.8</v>
      </c>
      <c r="J50" s="4"/>
    </row>
    <row r="51" spans="1:10" x14ac:dyDescent="0.3">
      <c r="A51" s="4" t="s">
        <v>149</v>
      </c>
      <c r="B51" s="5" t="s">
        <v>118</v>
      </c>
      <c r="C51" s="5" t="s">
        <v>118</v>
      </c>
      <c r="D51" s="4" t="s">
        <v>27</v>
      </c>
      <c r="E51" s="4" t="s">
        <v>150</v>
      </c>
      <c r="F51" s="4" t="s">
        <v>15</v>
      </c>
      <c r="G51" s="4">
        <v>1</v>
      </c>
      <c r="H51" s="4"/>
      <c r="I51" s="4">
        <v>6.2</v>
      </c>
      <c r="J51" s="4"/>
    </row>
    <row r="52" spans="1:10" x14ac:dyDescent="0.3">
      <c r="A52" s="4" t="s">
        <v>204</v>
      </c>
      <c r="B52" s="5" t="s">
        <v>118</v>
      </c>
      <c r="C52" s="5" t="s">
        <v>118</v>
      </c>
      <c r="D52" s="4" t="s">
        <v>22</v>
      </c>
      <c r="E52" s="4" t="s">
        <v>209</v>
      </c>
      <c r="F52" s="4" t="s">
        <v>19</v>
      </c>
      <c r="G52" s="4">
        <v>1</v>
      </c>
      <c r="H52" s="4"/>
      <c r="I52" s="4">
        <v>6.2</v>
      </c>
      <c r="J52" s="4"/>
    </row>
    <row r="53" spans="1:10" x14ac:dyDescent="0.3">
      <c r="A53" s="4" t="s">
        <v>205</v>
      </c>
      <c r="B53" s="5" t="s">
        <v>118</v>
      </c>
      <c r="C53" s="5" t="s">
        <v>118</v>
      </c>
      <c r="D53" s="4" t="s">
        <v>22</v>
      </c>
      <c r="E53" s="4" t="s">
        <v>210</v>
      </c>
      <c r="F53" s="4" t="s">
        <v>19</v>
      </c>
      <c r="G53" s="4">
        <v>1</v>
      </c>
      <c r="H53" s="4"/>
      <c r="I53" s="4">
        <v>6.2</v>
      </c>
      <c r="J53" s="4"/>
    </row>
    <row r="54" spans="1:10" x14ac:dyDescent="0.3">
      <c r="A54" s="4" t="s">
        <v>206</v>
      </c>
      <c r="B54" s="5" t="s">
        <v>118</v>
      </c>
      <c r="C54" s="5" t="s">
        <v>118</v>
      </c>
      <c r="D54" s="4" t="s">
        <v>22</v>
      </c>
      <c r="E54" s="4" t="s">
        <v>211</v>
      </c>
      <c r="F54" s="4" t="s">
        <v>19</v>
      </c>
      <c r="G54" s="4">
        <v>1</v>
      </c>
      <c r="H54" s="4"/>
      <c r="I54" s="4">
        <v>6.2</v>
      </c>
      <c r="J54" s="4"/>
    </row>
    <row r="55" spans="1:10" x14ac:dyDescent="0.3">
      <c r="A55" s="4" t="s">
        <v>207</v>
      </c>
      <c r="B55" s="5" t="s">
        <v>118</v>
      </c>
      <c r="C55" s="5" t="s">
        <v>118</v>
      </c>
      <c r="D55" s="4" t="s">
        <v>32</v>
      </c>
      <c r="E55" s="4" t="s">
        <v>212</v>
      </c>
      <c r="F55" s="4" t="s">
        <v>15</v>
      </c>
      <c r="G55" s="4">
        <v>1</v>
      </c>
      <c r="H55" s="4"/>
      <c r="I55" s="4">
        <v>6.2</v>
      </c>
      <c r="J55" s="4"/>
    </row>
    <row r="56" spans="1:10" x14ac:dyDescent="0.3">
      <c r="A56" s="4" t="s">
        <v>208</v>
      </c>
      <c r="B56" s="5" t="s">
        <v>118</v>
      </c>
      <c r="C56" s="5" t="s">
        <v>118</v>
      </c>
      <c r="D56" s="4" t="s">
        <v>32</v>
      </c>
      <c r="E56" s="4" t="s">
        <v>213</v>
      </c>
      <c r="F56" s="4" t="s">
        <v>15</v>
      </c>
      <c r="G56" s="4">
        <v>1</v>
      </c>
      <c r="H56" s="4"/>
      <c r="I56" s="4">
        <v>6.2</v>
      </c>
      <c r="J56" s="4"/>
    </row>
    <row r="57" spans="1:10" x14ac:dyDescent="0.3">
      <c r="A57" s="4"/>
      <c r="B57" s="5"/>
      <c r="C57" s="5"/>
      <c r="D57" s="4"/>
      <c r="E57" s="4"/>
      <c r="F57" s="4"/>
      <c r="G57" s="4"/>
      <c r="H57" s="4"/>
      <c r="I57" s="4"/>
      <c r="J57" s="4"/>
    </row>
    <row r="58" spans="1:10" x14ac:dyDescent="0.3">
      <c r="A58" s="4"/>
      <c r="B58" s="5"/>
      <c r="C58" s="5"/>
      <c r="D58" s="4"/>
      <c r="E58" s="4"/>
      <c r="F58" s="4"/>
      <c r="G58" s="4"/>
      <c r="H58" s="4"/>
      <c r="I58" s="4"/>
      <c r="J58" s="4"/>
    </row>
    <row r="59" spans="1:10" x14ac:dyDescent="0.3">
      <c r="A59" s="4"/>
      <c r="B59" s="5"/>
      <c r="C59" s="5"/>
      <c r="D59" s="4"/>
      <c r="E59" s="4"/>
      <c r="F59" s="4"/>
      <c r="G59" s="4"/>
      <c r="H59" s="4"/>
      <c r="I59" s="4"/>
      <c r="J59" s="4"/>
    </row>
    <row r="60" spans="1:10" x14ac:dyDescent="0.3">
      <c r="A60" s="4"/>
      <c r="B60" s="5"/>
      <c r="C60" s="5"/>
      <c r="D60" s="4"/>
      <c r="E60" s="4"/>
      <c r="F60" s="4"/>
      <c r="G60" s="4"/>
      <c r="H60" s="4"/>
      <c r="I60" s="4"/>
      <c r="J60" s="4"/>
    </row>
    <row r="61" spans="1:10" x14ac:dyDescent="0.3">
      <c r="A61" s="4"/>
      <c r="B61" s="5"/>
      <c r="C61" s="5"/>
      <c r="D61" s="4"/>
      <c r="E61" s="4"/>
      <c r="F61" s="4"/>
      <c r="G61" s="4"/>
      <c r="H61" s="4"/>
      <c r="I61" s="4"/>
      <c r="J61" s="4"/>
    </row>
    <row r="62" spans="1:10" x14ac:dyDescent="0.3">
      <c r="A62" s="4"/>
      <c r="B62" s="5"/>
      <c r="C62" s="5"/>
      <c r="D62" s="4"/>
      <c r="E62" s="4"/>
      <c r="F62" s="4"/>
      <c r="G62" s="4"/>
      <c r="H62" s="4"/>
      <c r="I62" s="4"/>
      <c r="J62" s="4"/>
    </row>
    <row r="63" spans="1:10" x14ac:dyDescent="0.3">
      <c r="A63" s="4"/>
      <c r="B63" s="5"/>
      <c r="C63" s="5"/>
      <c r="D63" s="4"/>
      <c r="E63" s="4"/>
      <c r="F63" s="4"/>
      <c r="G63" s="4"/>
      <c r="H63" s="4"/>
      <c r="I63" s="4"/>
      <c r="J63" s="4"/>
    </row>
    <row r="64" spans="1:10" x14ac:dyDescent="0.3">
      <c r="A64" s="4"/>
      <c r="B64" s="5"/>
      <c r="C64" s="5"/>
      <c r="D64" s="4"/>
      <c r="E64" s="4"/>
      <c r="F64" s="4"/>
      <c r="G64" s="4"/>
      <c r="H64" s="4"/>
      <c r="I64" s="4"/>
      <c r="J64" s="4"/>
    </row>
    <row r="65" spans="1:10" x14ac:dyDescent="0.3">
      <c r="A65" s="4"/>
      <c r="B65" s="5"/>
      <c r="C65" s="5"/>
      <c r="D65" s="4"/>
      <c r="E65" s="4"/>
      <c r="F65" s="4"/>
      <c r="G65" s="4"/>
      <c r="H65" s="4"/>
      <c r="I65" s="4"/>
      <c r="J65" s="4"/>
    </row>
    <row r="66" spans="1:10" x14ac:dyDescent="0.3">
      <c r="A66" s="4"/>
      <c r="B66" s="5"/>
      <c r="C66" s="5"/>
      <c r="D66" s="4"/>
      <c r="E66" s="4"/>
      <c r="F66" s="4"/>
      <c r="G66" s="4"/>
      <c r="H66" s="4"/>
      <c r="I66" s="4"/>
      <c r="J66" s="4"/>
    </row>
    <row r="67" spans="1:10" x14ac:dyDescent="0.3">
      <c r="A67" s="4"/>
      <c r="B67" s="5"/>
      <c r="C67" s="5"/>
      <c r="D67" s="4"/>
      <c r="E67" s="4"/>
      <c r="F67" s="4"/>
      <c r="G67" s="4"/>
      <c r="H67" s="4"/>
      <c r="I67" s="4"/>
      <c r="J67" s="4"/>
    </row>
    <row r="68" spans="1:10" x14ac:dyDescent="0.3">
      <c r="A68" s="4"/>
      <c r="B68" s="5"/>
      <c r="C68" s="5"/>
      <c r="D68" s="4"/>
      <c r="E68" s="4"/>
      <c r="F68" s="4"/>
      <c r="G68" s="4"/>
      <c r="H68" s="4"/>
      <c r="I68" s="4"/>
      <c r="J68" s="4"/>
    </row>
    <row r="69" spans="1:10" x14ac:dyDescent="0.3">
      <c r="A69" s="4"/>
      <c r="B69" s="5"/>
      <c r="C69" s="5"/>
      <c r="D69" s="4"/>
      <c r="E69" s="4"/>
      <c r="F69" s="4"/>
      <c r="G69" s="4"/>
      <c r="H69" s="4"/>
      <c r="I69" s="4"/>
      <c r="J69" s="4"/>
    </row>
    <row r="70" spans="1:10" x14ac:dyDescent="0.3">
      <c r="A70" s="4"/>
      <c r="B70" s="5"/>
      <c r="C70" s="5"/>
      <c r="D70" s="4"/>
      <c r="E70" s="4"/>
      <c r="F70" s="4"/>
      <c r="G70" s="4"/>
      <c r="H70" s="4"/>
      <c r="I70" s="4"/>
      <c r="J70" s="4"/>
    </row>
    <row r="71" spans="1:10" x14ac:dyDescent="0.3">
      <c r="A71" s="4"/>
      <c r="B71" s="5"/>
      <c r="C71" s="5"/>
      <c r="D71" s="4"/>
      <c r="E71" s="4"/>
      <c r="F71" s="4"/>
      <c r="G71" s="4"/>
      <c r="H71" s="4"/>
      <c r="I71" s="4"/>
      <c r="J71" s="4"/>
    </row>
    <row r="72" spans="1:10" x14ac:dyDescent="0.3">
      <c r="A72" s="4"/>
      <c r="B72" s="5"/>
      <c r="C72" s="5"/>
      <c r="D72" s="4"/>
      <c r="E72" s="4"/>
      <c r="F72" s="4"/>
      <c r="G72" s="4"/>
      <c r="H72" s="4"/>
      <c r="I72" s="4"/>
      <c r="J72" s="4"/>
    </row>
    <row r="73" spans="1:10" x14ac:dyDescent="0.3">
      <c r="A73" s="4"/>
      <c r="B73" s="5"/>
      <c r="C73" s="5"/>
      <c r="D73" s="4"/>
      <c r="E73" s="4"/>
      <c r="F73" s="4"/>
      <c r="G73" s="4"/>
      <c r="H73" s="4"/>
      <c r="I73" s="4"/>
      <c r="J73" s="4"/>
    </row>
    <row r="74" spans="1:10" x14ac:dyDescent="0.3">
      <c r="A74" s="4"/>
      <c r="B74" s="5"/>
      <c r="C74" s="5"/>
      <c r="D74" s="4"/>
      <c r="E74" s="4"/>
      <c r="F74" s="4"/>
      <c r="G74" s="4"/>
      <c r="H74" s="4"/>
      <c r="I74" s="4"/>
      <c r="J74" s="4"/>
    </row>
    <row r="75" spans="1:10" x14ac:dyDescent="0.3">
      <c r="A75" s="4"/>
      <c r="B75" s="5"/>
      <c r="C75" s="5"/>
      <c r="D75" s="4"/>
      <c r="E75" s="4"/>
      <c r="F75" s="4"/>
      <c r="G75" s="4"/>
      <c r="H75" s="4"/>
      <c r="I75" s="4"/>
      <c r="J75" s="4"/>
    </row>
    <row r="76" spans="1:10" x14ac:dyDescent="0.3">
      <c r="A76" s="4"/>
      <c r="B76" s="5"/>
      <c r="C76" s="5"/>
      <c r="D76" s="4"/>
      <c r="E76" s="4"/>
      <c r="F76" s="4"/>
      <c r="G76" s="4"/>
      <c r="H76" s="4"/>
      <c r="I76" s="4"/>
      <c r="J76" s="4"/>
    </row>
    <row r="77" spans="1:10" x14ac:dyDescent="0.3">
      <c r="A77" s="4"/>
      <c r="B77" s="5"/>
      <c r="C77" s="5"/>
      <c r="D77" s="4"/>
      <c r="E77" s="4"/>
      <c r="F77" s="4"/>
      <c r="G77" s="4"/>
      <c r="H77" s="4"/>
      <c r="I77" s="4"/>
      <c r="J77" s="4"/>
    </row>
    <row r="78" spans="1:10" x14ac:dyDescent="0.3">
      <c r="A78" s="4"/>
      <c r="B78" s="5"/>
      <c r="C78" s="5"/>
      <c r="D78" s="4"/>
      <c r="E78" s="4"/>
      <c r="F78" s="4"/>
      <c r="G78" s="4"/>
      <c r="H78" s="4"/>
      <c r="I78" s="4"/>
      <c r="J78" s="4"/>
    </row>
    <row r="79" spans="1:10" x14ac:dyDescent="0.3">
      <c r="A79" s="4"/>
      <c r="B79" s="5"/>
      <c r="C79" s="5"/>
      <c r="D79" s="4"/>
      <c r="E79" s="4"/>
      <c r="F79" s="4"/>
      <c r="G79" s="4"/>
      <c r="H79" s="4"/>
      <c r="I79" s="4"/>
      <c r="J79" s="4"/>
    </row>
    <row r="80" spans="1:10" x14ac:dyDescent="0.3">
      <c r="A80" s="4"/>
      <c r="B80" s="5"/>
      <c r="C80" s="5"/>
      <c r="D80" s="4"/>
      <c r="E80" s="4"/>
      <c r="F80" s="4"/>
      <c r="G80" s="4"/>
      <c r="H80" s="4"/>
      <c r="I80" s="4"/>
      <c r="J80" s="4"/>
    </row>
    <row r="81" spans="1:10" x14ac:dyDescent="0.3">
      <c r="A81" s="4"/>
      <c r="B81" s="5"/>
      <c r="C81" s="5"/>
      <c r="D81" s="4"/>
      <c r="E81" s="4"/>
      <c r="F81" s="4"/>
      <c r="G81" s="4"/>
      <c r="H81" s="4"/>
      <c r="I81" s="4"/>
      <c r="J81" s="4"/>
    </row>
    <row r="82" spans="1:10" x14ac:dyDescent="0.3">
      <c r="A82" s="4"/>
      <c r="B82" s="5"/>
      <c r="C82" s="5"/>
      <c r="D82" s="4"/>
      <c r="E82" s="4"/>
      <c r="F82" s="4"/>
      <c r="G82" s="4"/>
      <c r="H82" s="4"/>
      <c r="I82" s="4"/>
      <c r="J82" s="4"/>
    </row>
    <row r="83" spans="1:10" x14ac:dyDescent="0.3">
      <c r="A83" s="4"/>
      <c r="B83" s="5"/>
      <c r="C83" s="5"/>
      <c r="D83" s="4"/>
      <c r="E83" s="4"/>
      <c r="F83" s="4"/>
      <c r="G83" s="4"/>
      <c r="H83" s="4"/>
      <c r="I83" s="4"/>
      <c r="J83" s="4"/>
    </row>
    <row r="84" spans="1:10" x14ac:dyDescent="0.3">
      <c r="A84" s="4"/>
      <c r="B84" s="5"/>
      <c r="C84" s="5"/>
      <c r="D84" s="4"/>
      <c r="E84" s="4"/>
      <c r="F84" s="4"/>
      <c r="G84" s="4"/>
      <c r="H84" s="4"/>
      <c r="I84" s="4"/>
      <c r="J84" s="4"/>
    </row>
    <row r="85" spans="1:10" x14ac:dyDescent="0.3">
      <c r="A85" s="4"/>
      <c r="B85" s="5"/>
      <c r="C85" s="5"/>
      <c r="D85" s="4"/>
      <c r="E85" s="4"/>
      <c r="F85" s="4"/>
      <c r="G85" s="4"/>
      <c r="H85" s="4"/>
      <c r="I85" s="4"/>
      <c r="J85" s="4"/>
    </row>
    <row r="86" spans="1:10" x14ac:dyDescent="0.3">
      <c r="A86" s="4"/>
      <c r="B86" s="5"/>
      <c r="C86" s="5"/>
      <c r="D86" s="4"/>
      <c r="E86" s="4"/>
      <c r="F86" s="4"/>
      <c r="G86" s="4"/>
      <c r="H86" s="4"/>
      <c r="I86" s="4"/>
      <c r="J86" s="4"/>
    </row>
    <row r="87" spans="1:10" x14ac:dyDescent="0.3">
      <c r="A87" s="4"/>
      <c r="B87" s="5"/>
      <c r="C87" s="5"/>
      <c r="D87" s="4"/>
      <c r="E87" s="4"/>
      <c r="F87" s="4"/>
      <c r="G87" s="4"/>
      <c r="H87" s="4"/>
      <c r="I87" s="4"/>
      <c r="J87" s="4"/>
    </row>
    <row r="88" spans="1:10" x14ac:dyDescent="0.3">
      <c r="A88" s="4"/>
      <c r="B88" s="5"/>
      <c r="C88" s="5"/>
      <c r="D88" s="4"/>
      <c r="E88" s="4"/>
      <c r="F88" s="4"/>
      <c r="G88" s="4"/>
      <c r="H88" s="4"/>
      <c r="I88" s="4"/>
      <c r="J88" s="4"/>
    </row>
    <row r="89" spans="1:10" x14ac:dyDescent="0.3">
      <c r="A89" s="4"/>
      <c r="B89" s="5"/>
      <c r="C89" s="5"/>
      <c r="D89" s="4"/>
      <c r="E89" s="4"/>
      <c r="F89" s="4"/>
      <c r="G89" s="4"/>
      <c r="H89" s="4"/>
      <c r="I89" s="4"/>
      <c r="J89" s="4"/>
    </row>
    <row r="90" spans="1:10" x14ac:dyDescent="0.3">
      <c r="A90" s="4"/>
      <c r="B90" s="5"/>
      <c r="C90" s="5"/>
      <c r="D90" s="4"/>
      <c r="E90" s="4"/>
      <c r="F90" s="4"/>
      <c r="G90" s="4"/>
      <c r="H90" s="4"/>
      <c r="I90" s="4"/>
      <c r="J90" s="4"/>
    </row>
    <row r="91" spans="1:10" x14ac:dyDescent="0.3">
      <c r="A91" s="4"/>
      <c r="B91" s="5"/>
      <c r="C91" s="5"/>
      <c r="D91" s="4"/>
      <c r="E91" s="4"/>
      <c r="F91" s="4"/>
      <c r="G91" s="4"/>
      <c r="H91" s="4"/>
      <c r="I91" s="4"/>
      <c r="J91" s="4"/>
    </row>
    <row r="92" spans="1:10" x14ac:dyDescent="0.3">
      <c r="A92" s="4"/>
      <c r="B92" s="5"/>
      <c r="C92" s="5"/>
      <c r="D92" s="4"/>
      <c r="E92" s="4"/>
      <c r="F92" s="4"/>
      <c r="G92" s="4"/>
      <c r="H92" s="4"/>
      <c r="I92" s="4"/>
      <c r="J92" s="4"/>
    </row>
    <row r="93" spans="1:10" x14ac:dyDescent="0.3">
      <c r="A93" s="4"/>
      <c r="B93" s="5"/>
      <c r="C93" s="5"/>
      <c r="D93" s="4"/>
      <c r="E93" s="4"/>
      <c r="F93" s="4"/>
      <c r="G93" s="4"/>
      <c r="H93" s="4"/>
      <c r="I93" s="4"/>
      <c r="J93" s="4"/>
    </row>
    <row r="94" spans="1:10" x14ac:dyDescent="0.3">
      <c r="A94" s="4"/>
      <c r="B94" s="5"/>
      <c r="C94" s="5"/>
      <c r="D94" s="4"/>
      <c r="E94" s="4"/>
      <c r="F94" s="4"/>
      <c r="G94" s="4"/>
      <c r="H94" s="4"/>
      <c r="I94" s="4"/>
      <c r="J94" s="4"/>
    </row>
    <row r="95" spans="1:10" x14ac:dyDescent="0.3">
      <c r="A95" s="4"/>
      <c r="B95" s="5"/>
      <c r="C95" s="5"/>
      <c r="D95" s="4"/>
      <c r="E95" s="4"/>
      <c r="F95" s="4"/>
      <c r="G95" s="4"/>
      <c r="H95" s="4"/>
      <c r="I95" s="4"/>
      <c r="J95" s="4"/>
    </row>
    <row r="96" spans="1:10" x14ac:dyDescent="0.3">
      <c r="A96" s="4"/>
      <c r="B96" s="5"/>
      <c r="C96" s="5"/>
      <c r="D96" s="4"/>
      <c r="E96" s="4"/>
      <c r="F96" s="4"/>
      <c r="G96" s="4"/>
      <c r="H96" s="4"/>
      <c r="I96" s="4"/>
      <c r="J96" s="4"/>
    </row>
    <row r="97" spans="1:10" x14ac:dyDescent="0.3">
      <c r="A97" s="4"/>
      <c r="B97" s="5"/>
      <c r="C97" s="5"/>
      <c r="D97" s="4"/>
      <c r="E97" s="4"/>
      <c r="F97" s="4"/>
      <c r="G97" s="4"/>
      <c r="H97" s="4"/>
      <c r="I97" s="4"/>
      <c r="J97" s="4"/>
    </row>
    <row r="98" spans="1:10" x14ac:dyDescent="0.3">
      <c r="A98" s="4"/>
      <c r="B98" s="5"/>
      <c r="C98" s="5"/>
      <c r="D98" s="4"/>
      <c r="E98" s="4"/>
      <c r="F98" s="4"/>
      <c r="G98" s="4"/>
      <c r="H98" s="4"/>
      <c r="I98" s="4"/>
      <c r="J98" s="4"/>
    </row>
    <row r="99" spans="1:10" x14ac:dyDescent="0.3">
      <c r="A99" s="4"/>
      <c r="B99" s="5"/>
      <c r="C99" s="5"/>
      <c r="D99" s="4"/>
      <c r="E99" s="4"/>
      <c r="F99" s="4"/>
      <c r="G99" s="4"/>
      <c r="H99" s="4"/>
      <c r="I99" s="4"/>
      <c r="J99" s="4"/>
    </row>
    <row r="100" spans="1:10" x14ac:dyDescent="0.3">
      <c r="A100" s="4"/>
      <c r="B100" s="5"/>
      <c r="C100" s="5"/>
      <c r="D100" s="4"/>
      <c r="E100" s="4"/>
      <c r="F100" s="4"/>
      <c r="G100" s="4"/>
      <c r="H100" s="4"/>
      <c r="I100" s="4"/>
      <c r="J100" s="4"/>
    </row>
    <row r="101" spans="1:10" x14ac:dyDescent="0.3">
      <c r="A101" s="4"/>
      <c r="B101" s="5"/>
      <c r="C101" s="5"/>
      <c r="D101" s="4"/>
      <c r="E101" s="4"/>
      <c r="F101" s="4"/>
      <c r="G101" s="4"/>
      <c r="H101" s="4"/>
      <c r="I101" s="4"/>
      <c r="J101" s="4"/>
    </row>
    <row r="102" spans="1:10" x14ac:dyDescent="0.3">
      <c r="A102" s="4"/>
      <c r="B102" s="5"/>
      <c r="C102" s="5"/>
      <c r="D102" s="4"/>
      <c r="E102" s="4"/>
      <c r="F102" s="4"/>
      <c r="G102" s="4"/>
      <c r="H102" s="4"/>
      <c r="I102" s="4"/>
      <c r="J102" s="4"/>
    </row>
    <row r="103" spans="1:10" x14ac:dyDescent="0.3">
      <c r="A103" s="4"/>
      <c r="B103" s="5"/>
      <c r="C103" s="5"/>
      <c r="D103" s="4"/>
      <c r="E103" s="4"/>
      <c r="F103" s="4"/>
      <c r="G103" s="4"/>
      <c r="H103" s="4"/>
      <c r="I103" s="4"/>
      <c r="J103" s="4"/>
    </row>
    <row r="104" spans="1:10" x14ac:dyDescent="0.3">
      <c r="A104" s="4"/>
      <c r="B104" s="5"/>
      <c r="C104" s="5"/>
      <c r="D104" s="4"/>
      <c r="E104" s="4"/>
      <c r="F104" s="4"/>
      <c r="G104" s="4"/>
      <c r="H104" s="4"/>
      <c r="I104" s="4"/>
      <c r="J104" s="4"/>
    </row>
    <row r="105" spans="1:10" x14ac:dyDescent="0.3">
      <c r="A105" s="4"/>
      <c r="B105" s="5"/>
      <c r="C105" s="5"/>
      <c r="D105" s="4"/>
      <c r="E105" s="4"/>
      <c r="F105" s="4"/>
      <c r="G105" s="4"/>
      <c r="H105" s="4"/>
      <c r="I105" s="4"/>
      <c r="J105" s="4"/>
    </row>
    <row r="106" spans="1:10" x14ac:dyDescent="0.3">
      <c r="A106" s="4"/>
      <c r="B106" s="5"/>
      <c r="C106" s="5"/>
      <c r="D106" s="4"/>
      <c r="E106" s="4"/>
      <c r="F106" s="4"/>
      <c r="G106" s="4"/>
      <c r="H106" s="4"/>
      <c r="I106" s="4"/>
      <c r="J106" s="4"/>
    </row>
    <row r="107" spans="1:10" x14ac:dyDescent="0.3">
      <c r="A107" s="4"/>
      <c r="B107" s="5"/>
      <c r="C107" s="5"/>
      <c r="D107" s="4"/>
      <c r="E107" s="4"/>
      <c r="F107" s="4"/>
      <c r="G107" s="4"/>
      <c r="H107" s="4"/>
      <c r="I107" s="4"/>
      <c r="J107" s="4"/>
    </row>
    <row r="108" spans="1:10" x14ac:dyDescent="0.3">
      <c r="A108" s="4"/>
      <c r="B108" s="5"/>
      <c r="C108" s="5"/>
      <c r="D108" s="4"/>
      <c r="E108" s="4"/>
      <c r="F108" s="4"/>
      <c r="G108" s="4"/>
      <c r="H108" s="4"/>
      <c r="I108" s="4"/>
      <c r="J108" s="4"/>
    </row>
    <row r="109" spans="1:10" x14ac:dyDescent="0.3">
      <c r="A109" s="4"/>
      <c r="B109" s="5"/>
      <c r="C109" s="5"/>
      <c r="D109" s="4"/>
      <c r="E109" s="4"/>
      <c r="F109" s="4"/>
      <c r="G109" s="4"/>
      <c r="H109" s="4"/>
      <c r="I109" s="4"/>
      <c r="J109" s="4"/>
    </row>
    <row r="110" spans="1:10" x14ac:dyDescent="0.3">
      <c r="A110" s="4"/>
      <c r="B110" s="5"/>
      <c r="C110" s="5"/>
      <c r="D110" s="4"/>
      <c r="E110" s="4"/>
      <c r="F110" s="4"/>
      <c r="G110" s="4"/>
      <c r="H110" s="4"/>
      <c r="I110" s="4"/>
      <c r="J110" s="4"/>
    </row>
    <row r="111" spans="1:10" x14ac:dyDescent="0.3">
      <c r="A111" s="4"/>
      <c r="B111" s="5"/>
      <c r="C111" s="5"/>
      <c r="D111" s="4"/>
      <c r="E111" s="4"/>
      <c r="F111" s="4"/>
      <c r="G111" s="4"/>
      <c r="H111" s="4"/>
      <c r="I111" s="4"/>
      <c r="J111" s="4"/>
    </row>
    <row r="112" spans="1:10" x14ac:dyDescent="0.3">
      <c r="A112" s="4"/>
      <c r="B112" s="5"/>
      <c r="C112" s="5"/>
      <c r="D112" s="4"/>
      <c r="E112" s="4"/>
      <c r="F112" s="4"/>
      <c r="G112" s="4"/>
      <c r="H112" s="4"/>
      <c r="I112" s="4"/>
      <c r="J112" s="4"/>
    </row>
    <row r="113" spans="1:10" x14ac:dyDescent="0.3">
      <c r="A113" s="4"/>
      <c r="B113" s="5"/>
      <c r="C113" s="5"/>
      <c r="D113" s="4"/>
      <c r="E113" s="4"/>
      <c r="F113" s="4"/>
      <c r="G113" s="4"/>
      <c r="H113" s="4"/>
      <c r="I113" s="4"/>
      <c r="J113" s="4"/>
    </row>
    <row r="114" spans="1:10" x14ac:dyDescent="0.3">
      <c r="A114" s="4"/>
      <c r="B114" s="5"/>
      <c r="C114" s="5"/>
      <c r="D114" s="4"/>
      <c r="E114" s="4"/>
      <c r="F114" s="4"/>
      <c r="G114" s="4"/>
      <c r="H114" s="4"/>
      <c r="I114" s="4"/>
      <c r="J114" s="4"/>
    </row>
    <row r="115" spans="1:10" x14ac:dyDescent="0.3">
      <c r="A115" s="4"/>
      <c r="B115" s="5"/>
      <c r="C115" s="5"/>
      <c r="D115" s="4"/>
      <c r="E115" s="4"/>
      <c r="F115" s="4"/>
      <c r="G115" s="4"/>
      <c r="H115" s="4"/>
      <c r="I115" s="4"/>
      <c r="J115" s="4"/>
    </row>
    <row r="116" spans="1:10" x14ac:dyDescent="0.3">
      <c r="A116" s="4"/>
      <c r="B116" s="5"/>
      <c r="C116" s="5"/>
      <c r="D116" s="4"/>
      <c r="E116" s="4"/>
      <c r="F116" s="4"/>
      <c r="G116" s="4"/>
      <c r="H116" s="4"/>
      <c r="I116" s="4"/>
      <c r="J116" s="4"/>
    </row>
    <row r="117" spans="1:10" x14ac:dyDescent="0.3">
      <c r="A117" s="4"/>
      <c r="B117" s="5"/>
      <c r="C117" s="5"/>
      <c r="D117" s="4"/>
      <c r="E117" s="4"/>
      <c r="F117" s="4"/>
      <c r="G117" s="4"/>
      <c r="H117" s="4"/>
      <c r="I117" s="4"/>
      <c r="J117" s="4"/>
    </row>
    <row r="118" spans="1:10" x14ac:dyDescent="0.3">
      <c r="A118" s="4"/>
      <c r="B118" s="5"/>
      <c r="C118" s="5"/>
      <c r="D118" s="4"/>
      <c r="E118" s="4"/>
      <c r="F118" s="4"/>
      <c r="G118" s="4"/>
      <c r="H118" s="4"/>
      <c r="I118" s="4"/>
      <c r="J118" s="4"/>
    </row>
    <row r="119" spans="1:10" x14ac:dyDescent="0.3">
      <c r="A119" s="4"/>
      <c r="B119" s="5"/>
      <c r="C119" s="5"/>
      <c r="D119" s="4"/>
      <c r="E119" s="4"/>
      <c r="F119" s="4"/>
      <c r="G119" s="4"/>
      <c r="H119" s="4"/>
      <c r="I119" s="4"/>
      <c r="J119" s="4"/>
    </row>
    <row r="120" spans="1:10" x14ac:dyDescent="0.3">
      <c r="A120" s="4"/>
      <c r="B120" s="5"/>
      <c r="C120" s="5"/>
      <c r="D120" s="4"/>
      <c r="E120" s="4"/>
      <c r="F120" s="4"/>
      <c r="G120" s="4"/>
      <c r="H120" s="4"/>
      <c r="I120" s="4"/>
      <c r="J120" s="4"/>
    </row>
    <row r="121" spans="1:10" x14ac:dyDescent="0.3">
      <c r="A121" s="4"/>
      <c r="B121" s="5"/>
      <c r="C121" s="5"/>
      <c r="D121" s="4"/>
      <c r="E121" s="4"/>
      <c r="F121" s="4"/>
      <c r="G121" s="4"/>
      <c r="H121" s="4"/>
      <c r="I121" s="4"/>
      <c r="J121" s="4"/>
    </row>
    <row r="122" spans="1:10" x14ac:dyDescent="0.3">
      <c r="A122" s="4"/>
      <c r="B122" s="5"/>
      <c r="C122" s="5"/>
      <c r="D122" s="4"/>
      <c r="E122" s="4"/>
      <c r="F122" s="4"/>
      <c r="G122" s="4"/>
      <c r="H122" s="4"/>
      <c r="I122" s="4"/>
      <c r="J122" s="4"/>
    </row>
    <row r="123" spans="1:10" x14ac:dyDescent="0.3">
      <c r="A123" s="4"/>
      <c r="B123" s="5"/>
      <c r="C123" s="5"/>
      <c r="D123" s="4"/>
      <c r="E123" s="4"/>
      <c r="F123" s="4"/>
      <c r="G123" s="4"/>
      <c r="H123" s="4"/>
      <c r="I123" s="4"/>
      <c r="J123" s="4"/>
    </row>
    <row r="124" spans="1:10" x14ac:dyDescent="0.3">
      <c r="A124" s="4"/>
      <c r="B124" s="5"/>
      <c r="C124" s="5"/>
      <c r="D124" s="4"/>
      <c r="E124" s="4"/>
      <c r="F124" s="4"/>
      <c r="G124" s="4"/>
      <c r="H124" s="4"/>
      <c r="I124" s="4"/>
      <c r="J124" s="4"/>
    </row>
    <row r="125" spans="1:10" x14ac:dyDescent="0.3">
      <c r="A125" s="4"/>
      <c r="B125" s="5"/>
      <c r="C125" s="5"/>
      <c r="D125" s="4"/>
      <c r="E125" s="4"/>
      <c r="F125" s="4"/>
      <c r="G125" s="4"/>
      <c r="H125" s="4"/>
      <c r="I125" s="4"/>
      <c r="J125" s="4"/>
    </row>
    <row r="126" spans="1:10" x14ac:dyDescent="0.3">
      <c r="A126" s="4"/>
      <c r="B126" s="5"/>
      <c r="C126" s="5"/>
      <c r="D126" s="4"/>
      <c r="E126" s="4"/>
      <c r="F126" s="4"/>
      <c r="G126" s="4"/>
      <c r="H126" s="4"/>
      <c r="I126" s="4"/>
      <c r="J126" s="4"/>
    </row>
    <row r="127" spans="1:10" x14ac:dyDescent="0.3">
      <c r="A127" s="4"/>
      <c r="B127" s="5"/>
      <c r="C127" s="5"/>
      <c r="D127" s="4"/>
      <c r="E127" s="4"/>
      <c r="F127" s="4"/>
      <c r="G127" s="4"/>
      <c r="H127" s="4"/>
      <c r="I127" s="4"/>
      <c r="J127" s="4"/>
    </row>
    <row r="128" spans="1:10" x14ac:dyDescent="0.3">
      <c r="A128" s="4"/>
      <c r="B128" s="5"/>
      <c r="C128" s="5"/>
      <c r="D128" s="4"/>
      <c r="E128" s="4"/>
      <c r="F128" s="4"/>
      <c r="G128" s="4"/>
      <c r="H128" s="4"/>
      <c r="I128" s="4"/>
      <c r="J128" s="4"/>
    </row>
    <row r="129" spans="1:10" x14ac:dyDescent="0.3">
      <c r="A129" s="4"/>
      <c r="B129" s="5"/>
      <c r="C129" s="5"/>
      <c r="D129" s="4"/>
      <c r="E129" s="4"/>
      <c r="F129" s="4"/>
      <c r="G129" s="4"/>
      <c r="H129" s="4"/>
      <c r="I129" s="4"/>
      <c r="J129" s="4"/>
    </row>
    <row r="130" spans="1:10" x14ac:dyDescent="0.3">
      <c r="A130" s="4"/>
      <c r="B130" s="5"/>
      <c r="C130" s="5"/>
      <c r="D130" s="4"/>
      <c r="E130" s="4"/>
      <c r="F130" s="4"/>
      <c r="G130" s="4"/>
      <c r="H130" s="4"/>
      <c r="I130" s="4"/>
      <c r="J130" s="4"/>
    </row>
    <row r="131" spans="1:10" x14ac:dyDescent="0.3">
      <c r="A131" s="4"/>
      <c r="B131" s="5"/>
      <c r="C131" s="5"/>
      <c r="D131" s="4"/>
      <c r="E131" s="4"/>
      <c r="F131" s="4"/>
      <c r="G131" s="4"/>
      <c r="H131" s="4"/>
      <c r="I131" s="4"/>
      <c r="J131" s="4"/>
    </row>
    <row r="132" spans="1:10" x14ac:dyDescent="0.3">
      <c r="A132" s="4"/>
      <c r="B132" s="5"/>
      <c r="C132" s="5"/>
      <c r="D132" s="4"/>
      <c r="E132" s="4"/>
      <c r="F132" s="4"/>
      <c r="G132" s="4"/>
      <c r="H132" s="4"/>
      <c r="I132" s="4"/>
      <c r="J132" s="4"/>
    </row>
    <row r="133" spans="1:10" x14ac:dyDescent="0.3">
      <c r="A133" s="4"/>
      <c r="B133" s="5"/>
      <c r="C133" s="5"/>
      <c r="D133" s="4"/>
      <c r="E133" s="4"/>
      <c r="F133" s="4"/>
      <c r="G133" s="4"/>
      <c r="H133" s="4"/>
      <c r="I133" s="4"/>
      <c r="J133" s="4"/>
    </row>
    <row r="134" spans="1:10" x14ac:dyDescent="0.3">
      <c r="A134" s="4"/>
      <c r="B134" s="5"/>
      <c r="C134" s="5"/>
      <c r="D134" s="4"/>
      <c r="E134" s="4"/>
      <c r="F134" s="4"/>
      <c r="G134" s="4"/>
      <c r="H134" s="4"/>
      <c r="I134" s="4"/>
      <c r="J134" s="4"/>
    </row>
    <row r="135" spans="1:10" x14ac:dyDescent="0.3">
      <c r="A135" s="4"/>
      <c r="B135" s="5"/>
      <c r="C135" s="5"/>
      <c r="D135" s="4"/>
      <c r="E135" s="4"/>
      <c r="F135" s="4"/>
      <c r="G135" s="4"/>
      <c r="H135" s="4"/>
      <c r="I135" s="4"/>
      <c r="J135" s="4"/>
    </row>
    <row r="136" spans="1:10" x14ac:dyDescent="0.3">
      <c r="A136" s="4"/>
      <c r="B136" s="5"/>
      <c r="C136" s="5"/>
      <c r="D136" s="4"/>
      <c r="E136" s="4"/>
      <c r="F136" s="4"/>
      <c r="G136" s="4"/>
      <c r="H136" s="4"/>
      <c r="I136" s="4"/>
      <c r="J136" s="4"/>
    </row>
    <row r="137" spans="1:10" x14ac:dyDescent="0.3">
      <c r="A137" s="4"/>
      <c r="B137" s="5"/>
      <c r="C137" s="5"/>
      <c r="D137" s="4"/>
      <c r="E137" s="4"/>
      <c r="F137" s="4"/>
      <c r="G137" s="4"/>
      <c r="H137" s="4"/>
      <c r="I137" s="4"/>
      <c r="J137" s="4"/>
    </row>
    <row r="138" spans="1:10" x14ac:dyDescent="0.3">
      <c r="A138" s="4"/>
      <c r="B138" s="5"/>
      <c r="C138" s="5"/>
      <c r="D138" s="4"/>
      <c r="E138" s="4"/>
      <c r="F138" s="4"/>
      <c r="G138" s="4"/>
      <c r="H138" s="4"/>
      <c r="I138" s="4"/>
      <c r="J138" s="4"/>
    </row>
    <row r="139" spans="1:10" x14ac:dyDescent="0.3">
      <c r="A139" s="4"/>
      <c r="B139" s="5"/>
      <c r="C139" s="5"/>
      <c r="D139" s="4"/>
      <c r="E139" s="4"/>
      <c r="F139" s="4"/>
      <c r="G139" s="4"/>
      <c r="H139" s="4"/>
      <c r="I139" s="4"/>
      <c r="J139" s="4"/>
    </row>
    <row r="140" spans="1:10" x14ac:dyDescent="0.3">
      <c r="A140" s="4"/>
      <c r="B140" s="5"/>
      <c r="C140" s="5"/>
      <c r="D140" s="4"/>
      <c r="E140" s="4"/>
      <c r="F140" s="4"/>
      <c r="G140" s="4"/>
      <c r="H140" s="4"/>
      <c r="I140" s="4"/>
      <c r="J140" s="4"/>
    </row>
    <row r="141" spans="1:10" x14ac:dyDescent="0.3">
      <c r="A141" s="4"/>
      <c r="B141" s="5"/>
      <c r="C141" s="5"/>
      <c r="D141" s="4"/>
      <c r="E141" s="4"/>
      <c r="F141" s="4"/>
      <c r="G141" s="4"/>
      <c r="H141" s="4"/>
      <c r="I141" s="4"/>
      <c r="J141" s="4"/>
    </row>
    <row r="142" spans="1:10" x14ac:dyDescent="0.3">
      <c r="A142" s="4"/>
      <c r="B142" s="5"/>
      <c r="C142" s="5"/>
      <c r="D142" s="4"/>
      <c r="E142" s="4"/>
      <c r="F142" s="4"/>
      <c r="G142" s="4"/>
      <c r="H142" s="4"/>
      <c r="I142" s="4"/>
      <c r="J142" s="4"/>
    </row>
    <row r="143" spans="1:10" x14ac:dyDescent="0.3">
      <c r="A143" s="4"/>
      <c r="B143" s="5"/>
      <c r="C143" s="5"/>
      <c r="D143" s="4"/>
      <c r="E143" s="4"/>
      <c r="F143" s="4"/>
      <c r="G143" s="4"/>
      <c r="H143" s="4"/>
      <c r="I143" s="4"/>
      <c r="J143" s="4"/>
    </row>
    <row r="144" spans="1:10" x14ac:dyDescent="0.3">
      <c r="A144" s="4"/>
      <c r="B144" s="5"/>
      <c r="C144" s="5"/>
      <c r="D144" s="4"/>
      <c r="E144" s="4"/>
      <c r="F144" s="4"/>
      <c r="G144" s="4"/>
      <c r="H144" s="4"/>
      <c r="I144" s="4"/>
      <c r="J144" s="4"/>
    </row>
    <row r="145" spans="1:10" x14ac:dyDescent="0.3">
      <c r="A145" s="4"/>
      <c r="B145" s="5"/>
      <c r="C145" s="5"/>
      <c r="D145" s="4"/>
      <c r="E145" s="4"/>
      <c r="F145" s="4"/>
      <c r="G145" s="4"/>
      <c r="H145" s="4"/>
      <c r="I145" s="4"/>
      <c r="J145" s="4"/>
    </row>
    <row r="146" spans="1:10" x14ac:dyDescent="0.3">
      <c r="A146" s="4"/>
      <c r="B146" s="5"/>
      <c r="C146" s="5"/>
      <c r="D146" s="4"/>
      <c r="E146" s="4"/>
      <c r="F146" s="4"/>
      <c r="G146" s="4"/>
      <c r="H146" s="4"/>
      <c r="I146" s="4"/>
      <c r="J146" s="4"/>
    </row>
    <row r="147" spans="1:10" x14ac:dyDescent="0.3">
      <c r="A147" s="4"/>
      <c r="B147" s="5"/>
      <c r="C147" s="5"/>
      <c r="D147" s="4"/>
      <c r="E147" s="4"/>
      <c r="F147" s="4"/>
      <c r="G147" s="4"/>
      <c r="H147" s="4"/>
      <c r="I147" s="4"/>
      <c r="J147" s="4"/>
    </row>
    <row r="148" spans="1:10" x14ac:dyDescent="0.3">
      <c r="A148" s="4"/>
      <c r="B148" s="5"/>
      <c r="C148" s="5"/>
      <c r="D148" s="4"/>
      <c r="E148" s="4"/>
      <c r="F148" s="4"/>
      <c r="G148" s="4"/>
      <c r="H148" s="4"/>
      <c r="I148" s="4"/>
      <c r="J148" s="4"/>
    </row>
    <row r="149" spans="1:10" x14ac:dyDescent="0.3">
      <c r="A149" s="4"/>
      <c r="B149" s="5"/>
      <c r="C149" s="5"/>
      <c r="D149" s="4"/>
      <c r="E149" s="4"/>
      <c r="F149" s="4"/>
      <c r="G149" s="4"/>
      <c r="H149" s="4"/>
      <c r="I149" s="4"/>
      <c r="J149" s="4"/>
    </row>
    <row r="150" spans="1:10" x14ac:dyDescent="0.3">
      <c r="A150" s="4"/>
      <c r="B150" s="5"/>
      <c r="C150" s="5"/>
      <c r="D150" s="4"/>
      <c r="E150" s="4"/>
      <c r="F150" s="4"/>
      <c r="G150" s="4"/>
      <c r="H150" s="4"/>
      <c r="I150" s="4"/>
      <c r="J150" s="4"/>
    </row>
    <row r="151" spans="1:10" x14ac:dyDescent="0.3">
      <c r="A151" s="4"/>
      <c r="B151" s="5"/>
      <c r="C151" s="5"/>
      <c r="D151" s="4"/>
      <c r="E151" s="4"/>
      <c r="F151" s="4"/>
      <c r="G151" s="4"/>
      <c r="H151" s="4"/>
      <c r="I151" s="4"/>
      <c r="J151" s="4"/>
    </row>
    <row r="152" spans="1:10" x14ac:dyDescent="0.3">
      <c r="A152" s="4"/>
      <c r="B152" s="5"/>
      <c r="C152" s="5"/>
      <c r="D152" s="4"/>
      <c r="E152" s="4"/>
      <c r="F152" s="4"/>
      <c r="G152" s="4"/>
      <c r="H152" s="4"/>
      <c r="I152" s="4"/>
      <c r="J152" s="4"/>
    </row>
    <row r="153" spans="1:10" x14ac:dyDescent="0.3">
      <c r="A153" s="4"/>
      <c r="B153" s="5"/>
      <c r="C153" s="5"/>
      <c r="D153" s="4"/>
      <c r="E153" s="4"/>
      <c r="F153" s="4"/>
      <c r="G153" s="4"/>
      <c r="H153" s="4"/>
      <c r="I153" s="4"/>
      <c r="J153" s="4"/>
    </row>
    <row r="154" spans="1:10" x14ac:dyDescent="0.3">
      <c r="A154" s="4"/>
      <c r="B154" s="5"/>
      <c r="C154" s="5"/>
      <c r="D154" s="4"/>
      <c r="E154" s="4"/>
      <c r="F154" s="4"/>
      <c r="G154" s="4"/>
      <c r="H154" s="4"/>
      <c r="I154" s="4"/>
      <c r="J154" s="4"/>
    </row>
    <row r="155" spans="1:10" x14ac:dyDescent="0.3">
      <c r="A155" s="4"/>
      <c r="B155" s="5"/>
      <c r="C155" s="5"/>
      <c r="D155" s="4"/>
      <c r="E155" s="4"/>
      <c r="F155" s="4"/>
      <c r="G155" s="4"/>
      <c r="H155" s="4"/>
      <c r="I155" s="4"/>
      <c r="J155" s="4"/>
    </row>
    <row r="156" spans="1:10" x14ac:dyDescent="0.3">
      <c r="A156" s="4"/>
      <c r="B156" s="5"/>
      <c r="C156" s="5"/>
      <c r="D156" s="4"/>
      <c r="E156" s="4"/>
      <c r="F156" s="4"/>
      <c r="G156" s="4"/>
      <c r="H156" s="4"/>
      <c r="I156" s="4"/>
      <c r="J156" s="4"/>
    </row>
    <row r="157" spans="1:10" x14ac:dyDescent="0.3">
      <c r="A157" s="4"/>
      <c r="B157" s="5"/>
      <c r="C157" s="5"/>
      <c r="D157" s="4"/>
      <c r="E157" s="4"/>
      <c r="F157" s="4"/>
      <c r="G157" s="4"/>
      <c r="H157" s="4"/>
      <c r="I157" s="4"/>
      <c r="J157" s="4"/>
    </row>
    <row r="158" spans="1:10" x14ac:dyDescent="0.3">
      <c r="A158" s="4"/>
      <c r="B158" s="5"/>
      <c r="C158" s="5"/>
      <c r="D158" s="4"/>
      <c r="E158" s="4"/>
      <c r="F158" s="4"/>
      <c r="G158" s="4"/>
      <c r="H158" s="4"/>
      <c r="I158" s="4"/>
      <c r="J158" s="4"/>
    </row>
    <row r="159" spans="1:10" x14ac:dyDescent="0.3">
      <c r="A159" s="4"/>
      <c r="B159" s="5"/>
      <c r="C159" s="5"/>
      <c r="D159" s="4"/>
      <c r="E159" s="4"/>
      <c r="F159" s="4"/>
      <c r="G159" s="4"/>
      <c r="H159" s="4"/>
      <c r="I159" s="4"/>
      <c r="J159" s="4"/>
    </row>
    <row r="160" spans="1:10" x14ac:dyDescent="0.3">
      <c r="A160" s="4"/>
      <c r="B160" s="5"/>
      <c r="C160" s="5"/>
      <c r="D160" s="4"/>
      <c r="E160" s="4"/>
      <c r="F160" s="4"/>
      <c r="G160" s="4"/>
      <c r="H160" s="4"/>
      <c r="I160" s="4"/>
      <c r="J160" s="4"/>
    </row>
    <row r="161" spans="1:10" x14ac:dyDescent="0.3">
      <c r="A161" s="4"/>
      <c r="B161" s="5"/>
      <c r="C161" s="5"/>
      <c r="D161" s="4"/>
      <c r="E161" s="4"/>
      <c r="F161" s="4"/>
      <c r="G161" s="4"/>
      <c r="H161" s="4"/>
      <c r="I161" s="4"/>
      <c r="J161" s="4"/>
    </row>
    <row r="162" spans="1:10" x14ac:dyDescent="0.3">
      <c r="A162" s="4"/>
      <c r="B162" s="5"/>
      <c r="C162" s="5"/>
      <c r="D162" s="4"/>
      <c r="E162" s="4"/>
      <c r="F162" s="4"/>
      <c r="G162" s="4"/>
      <c r="H162" s="4"/>
      <c r="I162" s="4"/>
      <c r="J162" s="4"/>
    </row>
    <row r="163" spans="1:10" x14ac:dyDescent="0.3">
      <c r="A163" s="4"/>
      <c r="B163" s="5"/>
      <c r="C163" s="5"/>
      <c r="D163" s="4"/>
      <c r="E163" s="4"/>
      <c r="F163" s="4"/>
      <c r="G163" s="4"/>
      <c r="H163" s="4"/>
      <c r="I163" s="4"/>
      <c r="J163" s="4"/>
    </row>
    <row r="164" spans="1:10" x14ac:dyDescent="0.3">
      <c r="A164" s="4"/>
      <c r="B164" s="5"/>
      <c r="C164" s="5"/>
      <c r="D164" s="4"/>
      <c r="E164" s="4"/>
      <c r="F164" s="4"/>
      <c r="G164" s="4"/>
      <c r="H164" s="4"/>
      <c r="I164" s="4"/>
      <c r="J164" s="4"/>
    </row>
    <row r="165" spans="1:10" x14ac:dyDescent="0.3">
      <c r="A165" s="4"/>
      <c r="B165" s="5"/>
      <c r="C165" s="5"/>
      <c r="D165" s="4"/>
      <c r="E165" s="4"/>
      <c r="F165" s="4"/>
      <c r="G165" s="4"/>
      <c r="H165" s="4"/>
      <c r="I165" s="4"/>
      <c r="J165" s="4"/>
    </row>
    <row r="166" spans="1:10" x14ac:dyDescent="0.3">
      <c r="A166" s="4"/>
      <c r="B166" s="5"/>
      <c r="C166" s="5"/>
      <c r="D166" s="4"/>
      <c r="E166" s="4"/>
      <c r="F166" s="4"/>
      <c r="G166" s="4"/>
      <c r="H166" s="4"/>
      <c r="I166" s="4"/>
      <c r="J166" s="4"/>
    </row>
    <row r="167" spans="1:10" x14ac:dyDescent="0.3">
      <c r="A167" s="4"/>
      <c r="B167" s="5"/>
      <c r="C167" s="5"/>
      <c r="D167" s="4"/>
      <c r="E167" s="4"/>
      <c r="F167" s="4"/>
      <c r="G167" s="4"/>
      <c r="H167" s="4"/>
      <c r="I167" s="4"/>
      <c r="J167" s="4"/>
    </row>
    <row r="168" spans="1:10" x14ac:dyDescent="0.3">
      <c r="A168" s="4"/>
      <c r="B168" s="5"/>
      <c r="C168" s="5"/>
      <c r="D168" s="4"/>
      <c r="E168" s="4"/>
      <c r="F168" s="4"/>
      <c r="G168" s="4"/>
      <c r="H168" s="4"/>
      <c r="I168" s="4"/>
      <c r="J168" s="4"/>
    </row>
    <row r="169" spans="1:10" x14ac:dyDescent="0.3">
      <c r="A169" s="4"/>
      <c r="B169" s="5"/>
      <c r="C169" s="5"/>
      <c r="D169" s="4"/>
      <c r="E169" s="4"/>
      <c r="F169" s="4"/>
      <c r="G169" s="4"/>
      <c r="H169" s="4"/>
      <c r="I169" s="4"/>
      <c r="J169" s="4"/>
    </row>
    <row r="170" spans="1:10" x14ac:dyDescent="0.3">
      <c r="A170" s="4"/>
      <c r="B170" s="5"/>
      <c r="C170" s="5"/>
      <c r="D170" s="4"/>
      <c r="E170" s="4"/>
      <c r="F170" s="4"/>
      <c r="G170" s="4"/>
      <c r="H170" s="4"/>
      <c r="I170" s="4"/>
      <c r="J170" s="4"/>
    </row>
    <row r="171" spans="1:10" x14ac:dyDescent="0.3">
      <c r="A171" s="4"/>
      <c r="B171" s="5"/>
      <c r="C171" s="5"/>
      <c r="D171" s="4"/>
      <c r="E171" s="4"/>
      <c r="F171" s="4"/>
      <c r="G171" s="4"/>
      <c r="H171" s="4"/>
      <c r="I171" s="4"/>
      <c r="J171" s="4"/>
    </row>
    <row r="172" spans="1:10" x14ac:dyDescent="0.3">
      <c r="A172" s="4"/>
      <c r="B172" s="5"/>
      <c r="C172" s="5"/>
      <c r="D172" s="4"/>
      <c r="E172" s="4"/>
      <c r="F172" s="4"/>
      <c r="G172" s="4"/>
      <c r="H172" s="4"/>
      <c r="I172" s="4"/>
      <c r="J172" s="4"/>
    </row>
    <row r="173" spans="1:10" x14ac:dyDescent="0.3">
      <c r="A173" s="4"/>
      <c r="B173" s="5"/>
      <c r="C173" s="5"/>
      <c r="D173" s="4"/>
      <c r="E173" s="4"/>
      <c r="F173" s="4"/>
      <c r="G173" s="4"/>
      <c r="H173" s="4"/>
      <c r="I173" s="4"/>
      <c r="J173" s="4"/>
    </row>
    <row r="174" spans="1:10" x14ac:dyDescent="0.3">
      <c r="A174" s="4"/>
      <c r="B174" s="5"/>
      <c r="C174" s="5"/>
      <c r="D174" s="4"/>
      <c r="E174" s="4"/>
      <c r="F174" s="4"/>
      <c r="G174" s="4"/>
      <c r="H174" s="4"/>
      <c r="I174" s="4"/>
      <c r="J174" s="4"/>
    </row>
    <row r="175" spans="1:10" x14ac:dyDescent="0.3">
      <c r="A175" s="4"/>
      <c r="B175" s="5"/>
      <c r="C175" s="5"/>
      <c r="D175" s="4"/>
      <c r="E175" s="4"/>
      <c r="F175" s="4"/>
      <c r="G175" s="4"/>
      <c r="H175" s="4"/>
      <c r="I175" s="4"/>
      <c r="J175" s="4"/>
    </row>
    <row r="176" spans="1:10" x14ac:dyDescent="0.3">
      <c r="A176" s="4"/>
      <c r="B176" s="5"/>
      <c r="C176" s="5"/>
      <c r="D176" s="4"/>
      <c r="E176" s="4"/>
      <c r="F176" s="4"/>
      <c r="G176" s="4"/>
      <c r="H176" s="4"/>
      <c r="I176" s="4"/>
      <c r="J176" s="4"/>
    </row>
    <row r="177" spans="1:10" x14ac:dyDescent="0.3">
      <c r="A177" s="4"/>
      <c r="B177" s="5"/>
      <c r="C177" s="5"/>
      <c r="D177" s="4"/>
      <c r="E177" s="4"/>
      <c r="F177" s="4"/>
      <c r="G177" s="4"/>
      <c r="H177" s="4"/>
      <c r="I177" s="4"/>
      <c r="J177" s="4"/>
    </row>
    <row r="178" spans="1:10" x14ac:dyDescent="0.3">
      <c r="A178" s="4"/>
      <c r="B178" s="5"/>
      <c r="C178" s="5"/>
      <c r="D178" s="4"/>
      <c r="E178" s="4"/>
      <c r="F178" s="4"/>
      <c r="G178" s="4"/>
      <c r="H178" s="4"/>
      <c r="I178" s="4"/>
      <c r="J178" s="4"/>
    </row>
    <row r="179" spans="1:10" x14ac:dyDescent="0.3">
      <c r="A179" s="4"/>
      <c r="B179" s="5"/>
      <c r="C179" s="5"/>
      <c r="D179" s="4"/>
      <c r="E179" s="4"/>
      <c r="F179" s="4"/>
      <c r="G179" s="4"/>
      <c r="H179" s="4"/>
      <c r="I179" s="4"/>
      <c r="J179" s="4"/>
    </row>
    <row r="180" spans="1:10" x14ac:dyDescent="0.3">
      <c r="A180" s="4"/>
      <c r="B180" s="5"/>
      <c r="C180" s="5"/>
      <c r="D180" s="4"/>
      <c r="E180" s="4"/>
      <c r="F180" s="4"/>
      <c r="G180" s="4"/>
      <c r="H180" s="4"/>
      <c r="I180" s="4"/>
      <c r="J180" s="4"/>
    </row>
    <row r="181" spans="1:10" x14ac:dyDescent="0.3">
      <c r="A181" s="4"/>
      <c r="B181" s="5"/>
      <c r="C181" s="5"/>
      <c r="D181" s="4"/>
      <c r="E181" s="4"/>
      <c r="F181" s="4"/>
      <c r="G181" s="4"/>
      <c r="H181" s="4"/>
      <c r="I181" s="4"/>
      <c r="J181" s="4"/>
    </row>
    <row r="182" spans="1:10" x14ac:dyDescent="0.3">
      <c r="A182" s="4"/>
      <c r="B182" s="5"/>
      <c r="C182" s="5"/>
      <c r="D182" s="4"/>
      <c r="E182" s="4"/>
      <c r="F182" s="4"/>
      <c r="G182" s="4"/>
      <c r="H182" s="4"/>
      <c r="I182" s="4"/>
      <c r="J182" s="4"/>
    </row>
    <row r="183" spans="1:10" x14ac:dyDescent="0.3">
      <c r="A183" s="4"/>
      <c r="B183" s="5"/>
      <c r="C183" s="5"/>
      <c r="D183" s="4"/>
      <c r="E183" s="4"/>
      <c r="F183" s="4"/>
      <c r="G183" s="4"/>
      <c r="H183" s="4"/>
      <c r="I183" s="4"/>
      <c r="J183" s="4"/>
    </row>
    <row r="184" spans="1:10" x14ac:dyDescent="0.3">
      <c r="A184" s="4"/>
      <c r="B184" s="5"/>
      <c r="C184" s="5"/>
      <c r="D184" s="4"/>
      <c r="E184" s="4"/>
      <c r="F184" s="4"/>
      <c r="G184" s="4"/>
      <c r="H184" s="4"/>
      <c r="I184" s="4"/>
      <c r="J184" s="4"/>
    </row>
    <row r="185" spans="1:10" x14ac:dyDescent="0.3">
      <c r="A185" s="4"/>
      <c r="B185" s="5"/>
      <c r="C185" s="5"/>
      <c r="D185" s="4"/>
      <c r="E185" s="4"/>
      <c r="F185" s="4"/>
      <c r="G185" s="4"/>
      <c r="H185" s="4"/>
      <c r="I185" s="4"/>
      <c r="J185" s="4"/>
    </row>
    <row r="186" spans="1:10" x14ac:dyDescent="0.3">
      <c r="A186" s="4"/>
      <c r="B186" s="5"/>
      <c r="C186" s="5"/>
      <c r="D186" s="4"/>
      <c r="E186" s="4"/>
      <c r="F186" s="4"/>
      <c r="G186" s="4"/>
      <c r="H186" s="4"/>
      <c r="I186" s="4"/>
      <c r="J186" s="4"/>
    </row>
    <row r="187" spans="1:10" x14ac:dyDescent="0.3">
      <c r="A187" s="4"/>
      <c r="B187" s="5"/>
      <c r="C187" s="5"/>
      <c r="D187" s="4"/>
      <c r="E187" s="4"/>
      <c r="F187" s="4"/>
      <c r="G187" s="4"/>
      <c r="H187" s="4"/>
      <c r="I187" s="4"/>
      <c r="J187" s="4"/>
    </row>
    <row r="188" spans="1:10" x14ac:dyDescent="0.3">
      <c r="A188" s="4"/>
      <c r="B188" s="5"/>
      <c r="C188" s="5"/>
      <c r="D188" s="4"/>
      <c r="E188" s="4"/>
      <c r="F188" s="4"/>
      <c r="G188" s="4"/>
      <c r="H188" s="4"/>
      <c r="I188" s="4"/>
      <c r="J188" s="4"/>
    </row>
    <row r="189" spans="1:10" x14ac:dyDescent="0.3">
      <c r="A189" s="4"/>
      <c r="B189" s="5"/>
      <c r="C189" s="5"/>
      <c r="D189" s="4"/>
      <c r="E189" s="4"/>
      <c r="F189" s="4"/>
      <c r="G189" s="4"/>
      <c r="H189" s="4"/>
      <c r="I189" s="4"/>
      <c r="J189" s="4"/>
    </row>
    <row r="190" spans="1:10" x14ac:dyDescent="0.3">
      <c r="A190" s="4"/>
      <c r="B190" s="5"/>
      <c r="C190" s="5"/>
      <c r="D190" s="4"/>
      <c r="E190" s="4"/>
      <c r="F190" s="4"/>
      <c r="G190" s="4"/>
      <c r="H190" s="4"/>
      <c r="I190" s="4"/>
      <c r="J190" s="4"/>
    </row>
    <row r="191" spans="1:10" x14ac:dyDescent="0.3">
      <c r="A191" s="4"/>
      <c r="B191" s="5"/>
      <c r="C191" s="5"/>
      <c r="D191" s="4"/>
      <c r="E191" s="4"/>
      <c r="F191" s="4"/>
      <c r="G191" s="4"/>
      <c r="H191" s="4"/>
      <c r="I191" s="4"/>
      <c r="J191" s="4"/>
    </row>
    <row r="192" spans="1:10" x14ac:dyDescent="0.3">
      <c r="A192" s="4"/>
      <c r="B192" s="5"/>
      <c r="C192" s="5"/>
      <c r="D192" s="4"/>
      <c r="E192" s="4"/>
      <c r="F192" s="4"/>
      <c r="G192" s="4"/>
      <c r="H192" s="4"/>
      <c r="I192" s="4"/>
      <c r="J192" s="4"/>
    </row>
    <row r="193" spans="1:10" x14ac:dyDescent="0.3">
      <c r="A193" s="4"/>
      <c r="B193" s="5"/>
      <c r="C193" s="5"/>
      <c r="D193" s="4"/>
      <c r="E193" s="4"/>
      <c r="F193" s="4"/>
      <c r="G193" s="4"/>
      <c r="H193" s="4"/>
      <c r="I193" s="4"/>
      <c r="J193" s="4"/>
    </row>
    <row r="194" spans="1:10" x14ac:dyDescent="0.3">
      <c r="A194" s="4"/>
      <c r="B194" s="5"/>
      <c r="C194" s="5"/>
      <c r="D194" s="4"/>
      <c r="E194" s="4"/>
      <c r="F194" s="4"/>
      <c r="G194" s="4"/>
      <c r="H194" s="4"/>
      <c r="I194" s="4"/>
      <c r="J194" s="4"/>
    </row>
    <row r="195" spans="1:10" x14ac:dyDescent="0.3">
      <c r="A195" s="4"/>
      <c r="B195" s="5"/>
      <c r="C195" s="5"/>
      <c r="D195" s="4"/>
      <c r="E195" s="4"/>
      <c r="F195" s="4"/>
      <c r="G195" s="4"/>
      <c r="H195" s="4"/>
      <c r="I195" s="4"/>
      <c r="J195" s="4"/>
    </row>
    <row r="196" spans="1:10" x14ac:dyDescent="0.3">
      <c r="A196" s="4"/>
      <c r="B196" s="5"/>
      <c r="C196" s="5"/>
      <c r="D196" s="4"/>
      <c r="E196" s="4"/>
      <c r="F196" s="4"/>
      <c r="G196" s="4"/>
      <c r="H196" s="4"/>
      <c r="I196" s="4"/>
      <c r="J196" s="4"/>
    </row>
    <row r="197" spans="1:10" x14ac:dyDescent="0.3">
      <c r="A197" s="4"/>
      <c r="B197" s="5"/>
      <c r="C197" s="5"/>
      <c r="D197" s="4"/>
      <c r="E197" s="4"/>
      <c r="F197" s="4"/>
      <c r="G197" s="4"/>
      <c r="H197" s="4"/>
      <c r="I197" s="4"/>
      <c r="J197" s="4"/>
    </row>
    <row r="198" spans="1:10" x14ac:dyDescent="0.3">
      <c r="A198" s="4"/>
      <c r="B198" s="5"/>
      <c r="C198" s="5"/>
      <c r="D198" s="4"/>
      <c r="E198" s="4"/>
      <c r="F198" s="4"/>
      <c r="G198" s="4"/>
      <c r="H198" s="4"/>
      <c r="I198" s="4"/>
      <c r="J198" s="4"/>
    </row>
    <row r="199" spans="1:10" x14ac:dyDescent="0.3">
      <c r="A199" s="4"/>
      <c r="B199" s="5"/>
      <c r="C199" s="5"/>
      <c r="D199" s="4"/>
      <c r="E199" s="4"/>
      <c r="F199" s="4"/>
      <c r="G199" s="4"/>
      <c r="H199" s="4"/>
      <c r="I199" s="4"/>
      <c r="J199" s="4"/>
    </row>
    <row r="200" spans="1:10" x14ac:dyDescent="0.3">
      <c r="A200" s="4"/>
      <c r="B200" s="5"/>
      <c r="C200" s="5"/>
      <c r="D200" s="4"/>
      <c r="E200" s="4"/>
      <c r="F200" s="4"/>
      <c r="G200" s="4"/>
      <c r="H200" s="4"/>
      <c r="I200" s="4"/>
      <c r="J200" s="4"/>
    </row>
  </sheetData>
  <phoneticPr fontId="2" type="noConversion"/>
  <dataValidations count="4">
    <dataValidation type="list" sqref="D2:D200" xr:uid="{00000000-0002-0000-0000-000000000000}">
      <formula1>"Priya Sharma,Rohan Mehta,Sneha Patil,Karan Joshi,Meera Nair"</formula1>
    </dataValidation>
    <dataValidation type="list" sqref="F2:F200" xr:uid="{00000000-0002-0000-0000-000001000000}">
      <formula1>"Personal Loan,Home Loan,MSME Loan,Gold Loan"</formula1>
    </dataValidation>
    <dataValidation type="whole" sqref="G2:G200" xr:uid="{00000000-0002-0000-0000-000002000000}">
      <formula1>0</formula1>
      <formula2>1</formula2>
    </dataValidation>
    <dataValidation type="list" allowBlank="1" sqref="H2:H200" xr:uid="{00000000-0002-0000-0000-000003000000}">
      <formula1>"Document Error,Calculation Error,Policy Mismatch,Compliance Error,Data Entry Error"</formula1>
    </dataValidation>
  </dataValidations>
  <pageMargins left="0.75" right="0.75" top="1" bottom="1" header="0.5" footer="0.5"/>
  <pageSetup orientation="portrait" r:id="rId1"/>
  <ignoredErrors>
    <ignoredError sqref="B2"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7C346-73F9-4EB7-B802-8004F03A8F84}">
  <sheetPr>
    <tabColor rgb="FF00B0F0"/>
  </sheetPr>
  <dimension ref="A1:I200"/>
  <sheetViews>
    <sheetView zoomScale="80" zoomScaleNormal="80" workbookViewId="0">
      <selection activeCell="G31" sqref="G31"/>
    </sheetView>
  </sheetViews>
  <sheetFormatPr defaultRowHeight="14.4" x14ac:dyDescent="0.3"/>
  <cols>
    <col min="1" max="1" width="8.33203125" bestFit="1" customWidth="1"/>
    <col min="2" max="2" width="12.5546875" style="1" bestFit="1" customWidth="1"/>
    <col min="3" max="3" width="13.33203125" bestFit="1" customWidth="1"/>
    <col min="4" max="4" width="12.44140625" bestFit="1" customWidth="1"/>
    <col min="5" max="5" width="9.44140625" style="13" bestFit="1" customWidth="1"/>
    <col min="6" max="6" width="13.109375" bestFit="1" customWidth="1"/>
    <col min="7" max="7" width="19.44140625" bestFit="1" customWidth="1"/>
    <col min="8" max="8" width="12.33203125" style="10" bestFit="1" customWidth="1"/>
    <col min="9" max="9" width="8.5546875" bestFit="1" customWidth="1"/>
  </cols>
  <sheetData>
    <row r="1" spans="1:9" x14ac:dyDescent="0.3">
      <c r="A1" s="2" t="s">
        <v>0</v>
      </c>
      <c r="B1" s="3" t="s">
        <v>2</v>
      </c>
      <c r="C1" s="2" t="s">
        <v>3</v>
      </c>
      <c r="D1" s="2" t="s">
        <v>5</v>
      </c>
      <c r="E1" s="11" t="s">
        <v>6</v>
      </c>
      <c r="F1" s="2" t="s">
        <v>151</v>
      </c>
      <c r="G1" s="2" t="s">
        <v>7</v>
      </c>
      <c r="H1" s="8" t="s">
        <v>8</v>
      </c>
      <c r="I1" s="2" t="s">
        <v>9</v>
      </c>
    </row>
    <row r="2" spans="1:9" x14ac:dyDescent="0.3">
      <c r="A2" s="4" t="str">
        <f>RAW_DATA!A2</f>
        <v>AUD-001</v>
      </c>
      <c r="B2" s="5" t="str">
        <f>RAW_DATA!C2</f>
        <v>07-Jun-26</v>
      </c>
      <c r="C2" s="4" t="str">
        <f>RAW_DATA!D2</f>
        <v>Priya Sharma</v>
      </c>
      <c r="D2" s="4" t="str">
        <f>RAW_DATA!F2</f>
        <v>Personal Loan</v>
      </c>
      <c r="E2" s="12">
        <f>RAW_DATA!G2</f>
        <v>1</v>
      </c>
      <c r="F2" s="4" t="str">
        <f>IFERROR(IF(RAW_DATA!G2=1,"Correct","Error")," ")</f>
        <v>Correct</v>
      </c>
      <c r="G2" s="4" t="str">
        <f>IF(RAW_DATA!H2="","",RAW_DATA!H2)</f>
        <v/>
      </c>
      <c r="H2" s="9">
        <f>RAW_DATA!I2</f>
        <v>6.5</v>
      </c>
      <c r="I2" s="4" t="str">
        <f>IFERROR(IF(RAW_DATA!I2&lt;=8,"Met","Breached"),"")</f>
        <v>Met</v>
      </c>
    </row>
    <row r="3" spans="1:9" x14ac:dyDescent="0.3">
      <c r="A3" s="4" t="str">
        <f>RAW_DATA!A3</f>
        <v>AUD-002</v>
      </c>
      <c r="B3" s="5" t="str">
        <f>RAW_DATA!C3</f>
        <v>07-Jun-26</v>
      </c>
      <c r="C3" s="4" t="str">
        <f>RAW_DATA!D3</f>
        <v>Rohan Mehta</v>
      </c>
      <c r="D3" s="4" t="str">
        <f>RAW_DATA!F3</f>
        <v>Home Loan</v>
      </c>
      <c r="E3" s="12">
        <f>RAW_DATA!G3</f>
        <v>1</v>
      </c>
      <c r="F3" s="4" t="str">
        <f>IFERROR(IF(RAW_DATA!G3=1,"Correct","Error")," ")</f>
        <v>Correct</v>
      </c>
      <c r="G3" s="4" t="str">
        <f>IF(RAW_DATA!H3="","",RAW_DATA!H3)</f>
        <v/>
      </c>
      <c r="H3" s="9">
        <f>RAW_DATA!I3</f>
        <v>9.1999999999999993</v>
      </c>
      <c r="I3" s="4" t="str">
        <f>IFERROR(IF(RAW_DATA!I3&lt;=8,"Met","Breached"),"")</f>
        <v>Breached</v>
      </c>
    </row>
    <row r="4" spans="1:9" x14ac:dyDescent="0.3">
      <c r="A4" s="4" t="str">
        <f>RAW_DATA!A4</f>
        <v>AUD-003</v>
      </c>
      <c r="B4" s="5" t="str">
        <f>RAW_DATA!C4</f>
        <v>07-Jun-26</v>
      </c>
      <c r="C4" s="4" t="str">
        <f>RAW_DATA!D4</f>
        <v>Sneha Patil</v>
      </c>
      <c r="D4" s="4" t="str">
        <f>RAW_DATA!F4</f>
        <v>MSME Loan</v>
      </c>
      <c r="E4" s="12">
        <f>RAW_DATA!G4</f>
        <v>0</v>
      </c>
      <c r="F4" s="4" t="str">
        <f>IFERROR(IF(RAW_DATA!G4=1,"Correct","Error")," ")</f>
        <v>Error</v>
      </c>
      <c r="G4" s="4" t="str">
        <f>IF(RAW_DATA!H4="","",RAW_DATA!H4)</f>
        <v>Document Error</v>
      </c>
      <c r="H4" s="9">
        <f>RAW_DATA!I4</f>
        <v>7.8</v>
      </c>
      <c r="I4" s="4" t="str">
        <f>IFERROR(IF(RAW_DATA!I4&lt;=8,"Met","Breached"),"")</f>
        <v>Met</v>
      </c>
    </row>
    <row r="5" spans="1:9" x14ac:dyDescent="0.3">
      <c r="A5" s="4" t="str">
        <f>RAW_DATA!A5</f>
        <v>AUD-004</v>
      </c>
      <c r="B5" s="5" t="str">
        <f>RAW_DATA!C5</f>
        <v>07-Jun-26</v>
      </c>
      <c r="C5" s="4" t="str">
        <f>RAW_DATA!D5</f>
        <v>Karan Joshi</v>
      </c>
      <c r="D5" s="4" t="str">
        <f>RAW_DATA!F5</f>
        <v>Gold Loan</v>
      </c>
      <c r="E5" s="12">
        <f>RAW_DATA!G5</f>
        <v>1</v>
      </c>
      <c r="F5" s="4" t="str">
        <f>IFERROR(IF(RAW_DATA!G5=1,"Correct","Error")," ")</f>
        <v>Correct</v>
      </c>
      <c r="G5" s="4" t="str">
        <f>IF(RAW_DATA!H5="","",RAW_DATA!H5)</f>
        <v/>
      </c>
      <c r="H5" s="9">
        <v>7.5</v>
      </c>
      <c r="I5" s="4" t="str">
        <f>IFERROR(IF(RAW_DATA!I5&lt;=8,"Met","Breached"),"")</f>
        <v>Met</v>
      </c>
    </row>
    <row r="6" spans="1:9" x14ac:dyDescent="0.3">
      <c r="A6" s="4" t="str">
        <f>RAW_DATA!A6</f>
        <v>AUD-005</v>
      </c>
      <c r="B6" s="5" t="str">
        <f>RAW_DATA!C6</f>
        <v>07-Jun-26</v>
      </c>
      <c r="C6" s="4" t="str">
        <f>RAW_DATA!D6</f>
        <v>Meera Nair</v>
      </c>
      <c r="D6" s="4" t="str">
        <f>RAW_DATA!F6</f>
        <v>Personal Loan</v>
      </c>
      <c r="E6" s="12">
        <f>RAW_DATA!G6</f>
        <v>1</v>
      </c>
      <c r="F6" s="4" t="str">
        <f>IFERROR(IF(RAW_DATA!G6=1,"Correct","Error")," ")</f>
        <v>Correct</v>
      </c>
      <c r="G6" s="4" t="str">
        <f>IF(RAW_DATA!H6="","",RAW_DATA!H6)</f>
        <v/>
      </c>
      <c r="H6" s="9">
        <f>RAW_DATA!I6</f>
        <v>7.2</v>
      </c>
      <c r="I6" s="4" t="str">
        <f>IFERROR(IF(RAW_DATA!I6&lt;=8,"Met","Breached"),"")</f>
        <v>Met</v>
      </c>
    </row>
    <row r="7" spans="1:9" x14ac:dyDescent="0.3">
      <c r="A7" s="4" t="str">
        <f>RAW_DATA!A7</f>
        <v>AUD-006</v>
      </c>
      <c r="B7" s="5" t="str">
        <f>RAW_DATA!C7</f>
        <v>07-Jun-26</v>
      </c>
      <c r="C7" s="4" t="str">
        <f>RAW_DATA!D7</f>
        <v>Priya Sharma</v>
      </c>
      <c r="D7" s="4" t="str">
        <f>RAW_DATA!F7</f>
        <v>Personal Loan</v>
      </c>
      <c r="E7" s="12">
        <f>RAW_DATA!G7</f>
        <v>0</v>
      </c>
      <c r="F7" s="4" t="str">
        <f>IFERROR(IF(RAW_DATA!G7=1,"Correct","Error")," ")</f>
        <v>Error</v>
      </c>
      <c r="G7" s="4" t="str">
        <f>IF(RAW_DATA!H7="","",RAW_DATA!H7)</f>
        <v>Calculation Error</v>
      </c>
      <c r="H7" s="9">
        <f>RAW_DATA!I7</f>
        <v>8.5</v>
      </c>
      <c r="I7" s="4" t="str">
        <f>IFERROR(IF(RAW_DATA!I7&lt;=8,"Met","Breached"),"")</f>
        <v>Breached</v>
      </c>
    </row>
    <row r="8" spans="1:9" x14ac:dyDescent="0.3">
      <c r="A8" s="4" t="str">
        <f>RAW_DATA!A8</f>
        <v>AUD-007</v>
      </c>
      <c r="B8" s="5" t="str">
        <f>RAW_DATA!C8</f>
        <v>07-Jun-26</v>
      </c>
      <c r="C8" s="4" t="str">
        <f>RAW_DATA!D8</f>
        <v>Rohan Mehta</v>
      </c>
      <c r="D8" s="4" t="str">
        <f>RAW_DATA!F8</f>
        <v>Personal Loan</v>
      </c>
      <c r="E8" s="12">
        <f>RAW_DATA!G8</f>
        <v>1</v>
      </c>
      <c r="F8" s="4" t="str">
        <f>IFERROR(IF(RAW_DATA!G8=1,"Correct","Error")," ")</f>
        <v>Correct</v>
      </c>
      <c r="G8" s="4" t="str">
        <f>IF(RAW_DATA!H8="","",RAW_DATA!H8)</f>
        <v/>
      </c>
      <c r="H8" s="9">
        <f>RAW_DATA!I8</f>
        <v>6</v>
      </c>
      <c r="I8" s="4" t="str">
        <f>IFERROR(IF(RAW_DATA!I8&lt;=8,"Met","Breached"),"")</f>
        <v>Met</v>
      </c>
    </row>
    <row r="9" spans="1:9" x14ac:dyDescent="0.3">
      <c r="A9" s="4" t="str">
        <f>RAW_DATA!A9</f>
        <v>AUD-008</v>
      </c>
      <c r="B9" s="5" t="str">
        <f>RAW_DATA!C9</f>
        <v>07-Jun-26</v>
      </c>
      <c r="C9" s="4" t="str">
        <f>RAW_DATA!D9</f>
        <v>Sneha Patil</v>
      </c>
      <c r="D9" s="4" t="str">
        <f>RAW_DATA!F9</f>
        <v>Home Loan</v>
      </c>
      <c r="E9" s="12">
        <f>RAW_DATA!G9</f>
        <v>1</v>
      </c>
      <c r="F9" s="4" t="str">
        <f>IFERROR(IF(RAW_DATA!G9=1,"Correct","Error")," ")</f>
        <v>Correct</v>
      </c>
      <c r="G9" s="4" t="str">
        <f>IF(RAW_DATA!H9="","",RAW_DATA!H9)</f>
        <v/>
      </c>
      <c r="H9" s="9">
        <f>RAW_DATA!I9</f>
        <v>7.3</v>
      </c>
      <c r="I9" s="4" t="str">
        <f>IFERROR(IF(RAW_DATA!I9&lt;=8,"Met","Breached"),"")</f>
        <v>Met</v>
      </c>
    </row>
    <row r="10" spans="1:9" x14ac:dyDescent="0.3">
      <c r="A10" s="4" t="str">
        <f>RAW_DATA!A10</f>
        <v>AUD-009</v>
      </c>
      <c r="B10" s="5" t="str">
        <f>RAW_DATA!C10</f>
        <v>07-Jun-26</v>
      </c>
      <c r="C10" s="4" t="str">
        <f>RAW_DATA!D10</f>
        <v>Karan Joshi</v>
      </c>
      <c r="D10" s="4" t="str">
        <f>RAW_DATA!F10</f>
        <v>MSME Loan</v>
      </c>
      <c r="E10" s="12">
        <f>RAW_DATA!G10</f>
        <v>1</v>
      </c>
      <c r="F10" s="4" t="str">
        <f>IFERROR(IF(RAW_DATA!G10=1,"Correct","Error")," ")</f>
        <v>Correct</v>
      </c>
      <c r="G10" s="4" t="str">
        <f>IF(RAW_DATA!H10="","",RAW_DATA!H10)</f>
        <v/>
      </c>
      <c r="H10" s="9">
        <f>RAW_DATA!I10</f>
        <v>6.8</v>
      </c>
      <c r="I10" s="4" t="str">
        <f>IFERROR(IF(RAW_DATA!I10&lt;=8,"Met","Breached"),"")</f>
        <v>Met</v>
      </c>
    </row>
    <row r="11" spans="1:9" x14ac:dyDescent="0.3">
      <c r="A11" s="4" t="str">
        <f>RAW_DATA!A11</f>
        <v>AUD-010</v>
      </c>
      <c r="B11" s="5" t="str">
        <f>RAW_DATA!C11</f>
        <v>07-Jun-26</v>
      </c>
      <c r="C11" s="4" t="str">
        <f>RAW_DATA!D11</f>
        <v>Meera Nair</v>
      </c>
      <c r="D11" s="4" t="str">
        <f>RAW_DATA!F11</f>
        <v>Personal Loan</v>
      </c>
      <c r="E11" s="12">
        <f>RAW_DATA!G11</f>
        <v>0</v>
      </c>
      <c r="F11" s="4" t="str">
        <f>IFERROR(IF(RAW_DATA!G11=1,"Correct","Error")," ")</f>
        <v>Error</v>
      </c>
      <c r="G11" s="4" t="str">
        <f>IF(RAW_DATA!H11="","",RAW_DATA!H11)</f>
        <v>Policy Mismatch</v>
      </c>
      <c r="H11" s="9">
        <f>RAW_DATA!I11</f>
        <v>6.2</v>
      </c>
      <c r="I11" s="4" t="str">
        <f>IFERROR(IF(RAW_DATA!I11&lt;=8,"Met","Breached"),"")</f>
        <v>Met</v>
      </c>
    </row>
    <row r="12" spans="1:9" x14ac:dyDescent="0.3">
      <c r="A12" s="4" t="str">
        <f>RAW_DATA!A12</f>
        <v>AUD-011</v>
      </c>
      <c r="B12" s="5" t="str">
        <f>RAW_DATA!C12</f>
        <v>14-Jun-26</v>
      </c>
      <c r="C12" s="4" t="str">
        <f>RAW_DATA!D12</f>
        <v>Priya Sharma</v>
      </c>
      <c r="D12" s="4" t="str">
        <f>RAW_DATA!F12</f>
        <v>Home Loan</v>
      </c>
      <c r="E12" s="12">
        <f>RAW_DATA!G12</f>
        <v>1</v>
      </c>
      <c r="F12" s="4" t="str">
        <f>IFERROR(IF(RAW_DATA!G12=1,"Correct","Error")," ")</f>
        <v>Correct</v>
      </c>
      <c r="G12" s="4" t="str">
        <f>IF(RAW_DATA!H12="","",RAW_DATA!H12)</f>
        <v/>
      </c>
      <c r="H12" s="9">
        <f>RAW_DATA!I12</f>
        <v>6.3</v>
      </c>
      <c r="I12" s="4" t="str">
        <f>IFERROR(IF(RAW_DATA!I12&lt;=8,"Met","Breached"),"")</f>
        <v>Met</v>
      </c>
    </row>
    <row r="13" spans="1:9" x14ac:dyDescent="0.3">
      <c r="A13" s="4" t="str">
        <f>RAW_DATA!A13</f>
        <v>AUD-012</v>
      </c>
      <c r="B13" s="5" t="str">
        <f>RAW_DATA!C13</f>
        <v>14-Jun-26</v>
      </c>
      <c r="C13" s="4" t="str">
        <f>RAW_DATA!D13</f>
        <v>Rohan Mehta</v>
      </c>
      <c r="D13" s="4" t="str">
        <f>RAW_DATA!F13</f>
        <v>MSME Loan</v>
      </c>
      <c r="E13" s="12">
        <f>RAW_DATA!G13</f>
        <v>1</v>
      </c>
      <c r="F13" s="4" t="str">
        <f>IFERROR(IF(RAW_DATA!G13=1,"Correct","Error")," ")</f>
        <v>Correct</v>
      </c>
      <c r="G13" s="4" t="str">
        <f>IF(RAW_DATA!H13="","",RAW_DATA!H13)</f>
        <v/>
      </c>
      <c r="H13" s="9">
        <f>RAW_DATA!I13</f>
        <v>7</v>
      </c>
      <c r="I13" s="4" t="str">
        <f>IFERROR(IF(RAW_DATA!I13&lt;=8,"Met","Breached"),"")</f>
        <v>Met</v>
      </c>
    </row>
    <row r="14" spans="1:9" x14ac:dyDescent="0.3">
      <c r="A14" s="4" t="str">
        <f>RAW_DATA!A14</f>
        <v>AUD-013</v>
      </c>
      <c r="B14" s="5" t="str">
        <f>RAW_DATA!C14</f>
        <v>14-Jun-26</v>
      </c>
      <c r="C14" s="4" t="str">
        <f>RAW_DATA!D14</f>
        <v>Sneha Patil</v>
      </c>
      <c r="D14" s="4" t="str">
        <f>RAW_DATA!F14</f>
        <v>Personal Loan</v>
      </c>
      <c r="E14" s="12">
        <f>RAW_DATA!G14</f>
        <v>0</v>
      </c>
      <c r="F14" s="4" t="str">
        <f>IFERROR(IF(RAW_DATA!G14=1,"Correct","Error")," ")</f>
        <v>Error</v>
      </c>
      <c r="G14" s="4" t="str">
        <f>IF(RAW_DATA!H14="","",RAW_DATA!H14)</f>
        <v>Document Error</v>
      </c>
      <c r="H14" s="9">
        <f>RAW_DATA!I14</f>
        <v>6.5</v>
      </c>
      <c r="I14" s="4" t="str">
        <f>IFERROR(IF(RAW_DATA!I14&lt;=8,"Met","Breached"),"")</f>
        <v>Met</v>
      </c>
    </row>
    <row r="15" spans="1:9" x14ac:dyDescent="0.3">
      <c r="A15" s="4" t="str">
        <f>RAW_DATA!A15</f>
        <v>AUD-014</v>
      </c>
      <c r="B15" s="5" t="str">
        <f>RAW_DATA!C15</f>
        <v>14-Jun-26</v>
      </c>
      <c r="C15" s="4" t="str">
        <f>RAW_DATA!D15</f>
        <v>Karan Joshi</v>
      </c>
      <c r="D15" s="4" t="str">
        <f>RAW_DATA!F15</f>
        <v>Gold Loan</v>
      </c>
      <c r="E15" s="12">
        <f>RAW_DATA!G15</f>
        <v>1</v>
      </c>
      <c r="F15" s="4" t="str">
        <f>IFERROR(IF(RAW_DATA!G15=1,"Correct","Error")," ")</f>
        <v>Correct</v>
      </c>
      <c r="G15" s="4" t="str">
        <f>IF(RAW_DATA!H15="","",RAW_DATA!H15)</f>
        <v/>
      </c>
      <c r="H15" s="9">
        <v>10.199999999999999</v>
      </c>
      <c r="I15" s="4" t="str">
        <f>IFERROR(IF(RAW_DATA!I15&lt;=8,"Met","Breached"),"")</f>
        <v>Breached</v>
      </c>
    </row>
    <row r="16" spans="1:9" x14ac:dyDescent="0.3">
      <c r="A16" s="4" t="str">
        <f>RAW_DATA!A16</f>
        <v>AUD-015</v>
      </c>
      <c r="B16" s="5" t="str">
        <f>RAW_DATA!C16</f>
        <v>14-Jun-26</v>
      </c>
      <c r="C16" s="4" t="str">
        <f>RAW_DATA!D16</f>
        <v>Meera Nair</v>
      </c>
      <c r="D16" s="4" t="str">
        <f>RAW_DATA!F16</f>
        <v>Home Loan</v>
      </c>
      <c r="E16" s="12">
        <f>RAW_DATA!G16</f>
        <v>1</v>
      </c>
      <c r="F16" s="4" t="str">
        <f>IFERROR(IF(RAW_DATA!G16=1,"Correct","Error")," ")</f>
        <v>Correct</v>
      </c>
      <c r="G16" s="4" t="str">
        <f>IF(RAW_DATA!H16="","",RAW_DATA!H16)</f>
        <v/>
      </c>
      <c r="H16" s="9">
        <f>RAW_DATA!I16</f>
        <v>7.6</v>
      </c>
      <c r="I16" s="4" t="str">
        <f>IFERROR(IF(RAW_DATA!I16&lt;=8,"Met","Breached"),"")</f>
        <v>Met</v>
      </c>
    </row>
    <row r="17" spans="1:9" x14ac:dyDescent="0.3">
      <c r="A17" s="4" t="str">
        <f>RAW_DATA!A17</f>
        <v>AUD-016</v>
      </c>
      <c r="B17" s="5" t="str">
        <f>RAW_DATA!C17</f>
        <v>14-Jun-26</v>
      </c>
      <c r="C17" s="4" t="str">
        <f>RAW_DATA!D17</f>
        <v>Priya Sharma</v>
      </c>
      <c r="D17" s="4" t="str">
        <f>RAW_DATA!F17</f>
        <v>Personal Loan</v>
      </c>
      <c r="E17" s="12">
        <f>RAW_DATA!G17</f>
        <v>1</v>
      </c>
      <c r="F17" s="4" t="str">
        <f>IFERROR(IF(RAW_DATA!G17=1,"Correct","Error")," ")</f>
        <v>Correct</v>
      </c>
      <c r="G17" s="4" t="str">
        <f>IF(RAW_DATA!H17="","",RAW_DATA!H17)</f>
        <v/>
      </c>
      <c r="H17" s="9">
        <f>RAW_DATA!I17</f>
        <v>6.5</v>
      </c>
      <c r="I17" s="4" t="str">
        <f>IFERROR(IF(RAW_DATA!I17&lt;=8,"Met","Breached"),"")</f>
        <v>Met</v>
      </c>
    </row>
    <row r="18" spans="1:9" x14ac:dyDescent="0.3">
      <c r="A18" s="4" t="str">
        <f>RAW_DATA!A18</f>
        <v>AUD-017</v>
      </c>
      <c r="B18" s="5" t="str">
        <f>RAW_DATA!C18</f>
        <v>14-Jun-26</v>
      </c>
      <c r="C18" s="4" t="str">
        <f>RAW_DATA!D18</f>
        <v>Rohan Mehta</v>
      </c>
      <c r="D18" s="4" t="str">
        <f>RAW_DATA!F18</f>
        <v>Gold Loan</v>
      </c>
      <c r="E18" s="12">
        <f>RAW_DATA!G18</f>
        <v>0</v>
      </c>
      <c r="F18" s="4" t="str">
        <f>IFERROR(IF(RAW_DATA!G18=1,"Correct","Error")," ")</f>
        <v>Error</v>
      </c>
      <c r="G18" s="4" t="str">
        <f>IF(RAW_DATA!H18="","",RAW_DATA!H18)</f>
        <v>Calculation Error</v>
      </c>
      <c r="H18" s="9">
        <f>RAW_DATA!I18</f>
        <v>7.3</v>
      </c>
      <c r="I18" s="4" t="str">
        <f>IFERROR(IF(RAW_DATA!I18&lt;=8,"Met","Breached"),"")</f>
        <v>Met</v>
      </c>
    </row>
    <row r="19" spans="1:9" x14ac:dyDescent="0.3">
      <c r="A19" s="4" t="str">
        <f>RAW_DATA!A19</f>
        <v>AUD-018</v>
      </c>
      <c r="B19" s="5" t="str">
        <f>RAW_DATA!C19</f>
        <v>14-Jun-26</v>
      </c>
      <c r="C19" s="4" t="str">
        <f>RAW_DATA!D19</f>
        <v>Sneha Patil</v>
      </c>
      <c r="D19" s="4" t="str">
        <f>RAW_DATA!F19</f>
        <v>MSME Loan</v>
      </c>
      <c r="E19" s="12">
        <f>RAW_DATA!G19</f>
        <v>1</v>
      </c>
      <c r="F19" s="4" t="str">
        <f>IFERROR(IF(RAW_DATA!G19=1,"Correct","Error")," ")</f>
        <v>Correct</v>
      </c>
      <c r="G19" s="4" t="str">
        <f>IF(RAW_DATA!H19="","",RAW_DATA!H19)</f>
        <v/>
      </c>
      <c r="H19" s="9">
        <v>10.6</v>
      </c>
      <c r="I19" s="4" t="str">
        <f>IFERROR(IF(RAW_DATA!I19&lt;=8,"Met","Breached"),"")</f>
        <v>Breached</v>
      </c>
    </row>
    <row r="20" spans="1:9" x14ac:dyDescent="0.3">
      <c r="A20" s="4" t="str">
        <f>RAW_DATA!A20</f>
        <v>AUD-019</v>
      </c>
      <c r="B20" s="5" t="str">
        <f>RAW_DATA!C20</f>
        <v>14-Jun-26</v>
      </c>
      <c r="C20" s="4" t="str">
        <f>RAW_DATA!D20</f>
        <v>Karan Joshi</v>
      </c>
      <c r="D20" s="4" t="str">
        <f>RAW_DATA!F20</f>
        <v>Personal Loan</v>
      </c>
      <c r="E20" s="12">
        <f>RAW_DATA!G20</f>
        <v>1</v>
      </c>
      <c r="F20" s="4" t="str">
        <f>IFERROR(IF(RAW_DATA!G20=1,"Correct","Error")," ")</f>
        <v>Correct</v>
      </c>
      <c r="G20" s="4" t="str">
        <f>IF(RAW_DATA!H20="","",RAW_DATA!H20)</f>
        <v/>
      </c>
      <c r="H20" s="9">
        <f>RAW_DATA!I20</f>
        <v>6.8</v>
      </c>
      <c r="I20" s="4" t="str">
        <f>IFERROR(IF(RAW_DATA!I20&lt;=8,"Met","Breached"),"")</f>
        <v>Met</v>
      </c>
    </row>
    <row r="21" spans="1:9" x14ac:dyDescent="0.3">
      <c r="A21" s="4" t="str">
        <f>RAW_DATA!A21</f>
        <v>AUD-020</v>
      </c>
      <c r="B21" s="5" t="str">
        <f>RAW_DATA!C21</f>
        <v>14-Jun-26</v>
      </c>
      <c r="C21" s="4" t="str">
        <f>RAW_DATA!D21</f>
        <v>Meera Nair</v>
      </c>
      <c r="D21" s="4" t="str">
        <f>RAW_DATA!F21</f>
        <v>Gold Loan</v>
      </c>
      <c r="E21" s="12">
        <f>RAW_DATA!G21</f>
        <v>1</v>
      </c>
      <c r="F21" s="4" t="str">
        <f>IFERROR(IF(RAW_DATA!G21=1,"Correct","Error")," ")</f>
        <v>Correct</v>
      </c>
      <c r="G21" s="4" t="str">
        <f>IF(RAW_DATA!H21="","",RAW_DATA!H21)</f>
        <v/>
      </c>
      <c r="H21" s="9">
        <f>RAW_DATA!I21</f>
        <v>8.1999999999999993</v>
      </c>
      <c r="I21" s="4" t="str">
        <f>IFERROR(IF(RAW_DATA!I21&lt;=8,"Met","Breached"),"")</f>
        <v>Breached</v>
      </c>
    </row>
    <row r="22" spans="1:9" x14ac:dyDescent="0.3">
      <c r="A22" s="4" t="str">
        <f>RAW_DATA!A22</f>
        <v>AUD-021</v>
      </c>
      <c r="B22" s="5" t="str">
        <f>RAW_DATA!C22</f>
        <v>21-Jun-26</v>
      </c>
      <c r="C22" s="4" t="str">
        <f>RAW_DATA!D22</f>
        <v>Priya Sharma</v>
      </c>
      <c r="D22" s="4" t="str">
        <f>RAW_DATA!F22</f>
        <v>MSME Loan</v>
      </c>
      <c r="E22" s="12">
        <f>RAW_DATA!G22</f>
        <v>1</v>
      </c>
      <c r="F22" s="4" t="str">
        <f>IFERROR(IF(RAW_DATA!G22=1,"Correct","Error")," ")</f>
        <v>Correct</v>
      </c>
      <c r="G22" s="4" t="str">
        <f>IF(RAW_DATA!H22="","",RAW_DATA!H22)</f>
        <v/>
      </c>
      <c r="H22" s="9">
        <f>RAW_DATA!I22</f>
        <v>5.8</v>
      </c>
      <c r="I22" s="4" t="str">
        <f>IFERROR(IF(RAW_DATA!I22&lt;=8,"Met","Breached"),"")</f>
        <v>Met</v>
      </c>
    </row>
    <row r="23" spans="1:9" x14ac:dyDescent="0.3">
      <c r="A23" s="4" t="str">
        <f>RAW_DATA!A23</f>
        <v>AUD-022</v>
      </c>
      <c r="B23" s="5" t="str">
        <f>RAW_DATA!C23</f>
        <v>21-Jun-26</v>
      </c>
      <c r="C23" s="4" t="str">
        <f>RAW_DATA!D23</f>
        <v>Rohan Mehta</v>
      </c>
      <c r="D23" s="4" t="str">
        <f>RAW_DATA!F23</f>
        <v>Home Loan</v>
      </c>
      <c r="E23" s="12">
        <f>RAW_DATA!G23</f>
        <v>1</v>
      </c>
      <c r="F23" s="4" t="str">
        <f>IFERROR(IF(RAW_DATA!G23=1,"Correct","Error")," ")</f>
        <v>Correct</v>
      </c>
      <c r="G23" s="4" t="str">
        <f>IF(RAW_DATA!H23="","",RAW_DATA!H23)</f>
        <v/>
      </c>
      <c r="H23" s="9">
        <f>RAW_DATA!I23</f>
        <v>6</v>
      </c>
      <c r="I23" s="4" t="str">
        <f>IFERROR(IF(RAW_DATA!I23&lt;=8,"Met","Breached"),"")</f>
        <v>Met</v>
      </c>
    </row>
    <row r="24" spans="1:9" x14ac:dyDescent="0.3">
      <c r="A24" s="4" t="str">
        <f>RAW_DATA!A24</f>
        <v>AUD-023</v>
      </c>
      <c r="B24" s="5" t="str">
        <f>RAW_DATA!C24</f>
        <v>21-Jun-26</v>
      </c>
      <c r="C24" s="4" t="str">
        <f>RAW_DATA!D24</f>
        <v>Sneha Patil</v>
      </c>
      <c r="D24" s="4" t="str">
        <f>RAW_DATA!F24</f>
        <v>Gold Loan</v>
      </c>
      <c r="E24" s="12">
        <f>RAW_DATA!G24</f>
        <v>0</v>
      </c>
      <c r="F24" s="4" t="str">
        <f>IFERROR(IF(RAW_DATA!G24=1,"Correct","Error")," ")</f>
        <v>Error</v>
      </c>
      <c r="G24" s="4" t="str">
        <f>IF(RAW_DATA!H24="","",RAW_DATA!H24)</f>
        <v>Compliance Error</v>
      </c>
      <c r="H24" s="9">
        <f>RAW_DATA!I24</f>
        <v>7.1</v>
      </c>
      <c r="I24" s="4" t="str">
        <f>IFERROR(IF(RAW_DATA!I24&lt;=8,"Met","Breached"),"")</f>
        <v>Met</v>
      </c>
    </row>
    <row r="25" spans="1:9" x14ac:dyDescent="0.3">
      <c r="A25" s="4" t="str">
        <f>RAW_DATA!A25</f>
        <v>AUD-024</v>
      </c>
      <c r="B25" s="5" t="str">
        <f>RAW_DATA!C25</f>
        <v>21-Jun-26</v>
      </c>
      <c r="C25" s="4" t="str">
        <f>RAW_DATA!D25</f>
        <v>Karan Joshi</v>
      </c>
      <c r="D25" s="4" t="str">
        <f>RAW_DATA!F25</f>
        <v>Personal Loan</v>
      </c>
      <c r="E25" s="12">
        <f>RAW_DATA!G25</f>
        <v>0</v>
      </c>
      <c r="F25" s="4" t="str">
        <f>IFERROR(IF(RAW_DATA!G25=1,"Correct","Error")," ")</f>
        <v>Error</v>
      </c>
      <c r="G25" s="4" t="str">
        <f>IF(RAW_DATA!H25="","",RAW_DATA!H25)</f>
        <v>Document Error</v>
      </c>
      <c r="H25" s="9">
        <f>RAW_DATA!I25</f>
        <v>9.1999999999999993</v>
      </c>
      <c r="I25" s="4" t="str">
        <f>IFERROR(IF(RAW_DATA!I25&lt;=8,"Met","Breached"),"")</f>
        <v>Breached</v>
      </c>
    </row>
    <row r="26" spans="1:9" x14ac:dyDescent="0.3">
      <c r="A26" s="4" t="str">
        <f>RAW_DATA!A26</f>
        <v>AUD-025</v>
      </c>
      <c r="B26" s="5" t="str">
        <f>RAW_DATA!C26</f>
        <v>21-Jun-26</v>
      </c>
      <c r="C26" s="4" t="str">
        <f>RAW_DATA!D26</f>
        <v>Meera Nair</v>
      </c>
      <c r="D26" s="4" t="str">
        <f>RAW_DATA!F26</f>
        <v>MSME Loan</v>
      </c>
      <c r="E26" s="12">
        <f>RAW_DATA!G26</f>
        <v>1</v>
      </c>
      <c r="F26" s="4" t="str">
        <f>IFERROR(IF(RAW_DATA!G26=1,"Correct","Error")," ")</f>
        <v>Correct</v>
      </c>
      <c r="G26" s="4" t="str">
        <f>IF(RAW_DATA!H26="","",RAW_DATA!H26)</f>
        <v/>
      </c>
      <c r="H26" s="9">
        <f>RAW_DATA!I26</f>
        <v>6</v>
      </c>
      <c r="I26" s="4" t="str">
        <f>IFERROR(IF(RAW_DATA!I26&lt;=8,"Met","Breached"),"")</f>
        <v>Met</v>
      </c>
    </row>
    <row r="27" spans="1:9" x14ac:dyDescent="0.3">
      <c r="A27" s="4" t="str">
        <f>RAW_DATA!A27</f>
        <v>AUD-026</v>
      </c>
      <c r="B27" s="5" t="str">
        <f>RAW_DATA!C27</f>
        <v>21-Jun-26</v>
      </c>
      <c r="C27" s="4" t="str">
        <f>RAW_DATA!D27</f>
        <v>Priya Sharma</v>
      </c>
      <c r="D27" s="4" t="str">
        <f>RAW_DATA!F27</f>
        <v>Home Loan</v>
      </c>
      <c r="E27" s="12">
        <f>RAW_DATA!G27</f>
        <v>1</v>
      </c>
      <c r="F27" s="4" t="str">
        <f>IFERROR(IF(RAW_DATA!G27=1,"Correct","Error")," ")</f>
        <v>Correct</v>
      </c>
      <c r="G27" s="4" t="str">
        <f>IF(RAW_DATA!H27="","",RAW_DATA!H27)</f>
        <v/>
      </c>
      <c r="H27" s="9">
        <f>RAW_DATA!I27</f>
        <v>7.5</v>
      </c>
      <c r="I27" s="4" t="str">
        <f>IFERROR(IF(RAW_DATA!I27&lt;=8,"Met","Breached"),"")</f>
        <v>Met</v>
      </c>
    </row>
    <row r="28" spans="1:9" x14ac:dyDescent="0.3">
      <c r="A28" s="4" t="str">
        <f>RAW_DATA!A28</f>
        <v>AUD-027</v>
      </c>
      <c r="B28" s="5" t="str">
        <f>RAW_DATA!C28</f>
        <v>21-Jun-26</v>
      </c>
      <c r="C28" s="4" t="str">
        <f>RAW_DATA!D28</f>
        <v>Rohan Mehta</v>
      </c>
      <c r="D28" s="4" t="str">
        <f>RAW_DATA!F28</f>
        <v>Personal Loan</v>
      </c>
      <c r="E28" s="12">
        <f>RAW_DATA!G28</f>
        <v>1</v>
      </c>
      <c r="F28" s="4" t="str">
        <f>IFERROR(IF(RAW_DATA!G28=1,"Correct","Error")," ")</f>
        <v>Correct</v>
      </c>
      <c r="G28" s="4" t="str">
        <f>IF(RAW_DATA!H28="","",RAW_DATA!H28)</f>
        <v/>
      </c>
      <c r="H28" s="9">
        <f>RAW_DATA!I28</f>
        <v>6.5</v>
      </c>
      <c r="I28" s="4" t="str">
        <f>IFERROR(IF(RAW_DATA!I28&lt;=8,"Met","Breached"),"")</f>
        <v>Met</v>
      </c>
    </row>
    <row r="29" spans="1:9" x14ac:dyDescent="0.3">
      <c r="A29" s="4" t="str">
        <f>RAW_DATA!A29</f>
        <v>AUD-028</v>
      </c>
      <c r="B29" s="5" t="str">
        <f>RAW_DATA!C29</f>
        <v>21-Jun-26</v>
      </c>
      <c r="C29" s="4" t="str">
        <f>RAW_DATA!D29</f>
        <v>Sneha Patil</v>
      </c>
      <c r="D29" s="4" t="str">
        <f>RAW_DATA!F29</f>
        <v>Gold Loan</v>
      </c>
      <c r="E29" s="12">
        <f>RAW_DATA!G29</f>
        <v>0</v>
      </c>
      <c r="F29" s="4" t="str">
        <f>IFERROR(IF(RAW_DATA!G29=1,"Correct","Error")," ")</f>
        <v>Error</v>
      </c>
      <c r="G29" s="4" t="str">
        <f>IF(RAW_DATA!H29="","",RAW_DATA!H29)</f>
        <v>Data Entry Error</v>
      </c>
      <c r="H29" s="9">
        <f>RAW_DATA!I29</f>
        <v>9.5</v>
      </c>
      <c r="I29" s="4" t="str">
        <f>IFERROR(IF(RAW_DATA!I29&lt;=8,"Met","Breached"),"")</f>
        <v>Breached</v>
      </c>
    </row>
    <row r="30" spans="1:9" x14ac:dyDescent="0.3">
      <c r="A30" s="4" t="str">
        <f>RAW_DATA!A30</f>
        <v>AUD-029</v>
      </c>
      <c r="B30" s="5" t="str">
        <f>RAW_DATA!C30</f>
        <v>21-Jun-26</v>
      </c>
      <c r="C30" s="4" t="str">
        <f>RAW_DATA!D30</f>
        <v>Karan Joshi</v>
      </c>
      <c r="D30" s="4" t="str">
        <f>RAW_DATA!F30</f>
        <v>Home Loan</v>
      </c>
      <c r="E30" s="12">
        <f>RAW_DATA!G30</f>
        <v>1</v>
      </c>
      <c r="F30" s="4" t="str">
        <f>IFERROR(IF(RAW_DATA!G30=1,"Correct","Error")," ")</f>
        <v>Correct</v>
      </c>
      <c r="G30" s="4" t="str">
        <f>IF(RAW_DATA!H30="","",RAW_DATA!H30)</f>
        <v/>
      </c>
      <c r="H30" s="9">
        <f>RAW_DATA!I30</f>
        <v>7.8</v>
      </c>
      <c r="I30" s="4" t="str">
        <f>IFERROR(IF(RAW_DATA!I30&lt;=8,"Met","Breached"),"")</f>
        <v>Met</v>
      </c>
    </row>
    <row r="31" spans="1:9" x14ac:dyDescent="0.3">
      <c r="A31" s="4" t="str">
        <f>RAW_DATA!A31</f>
        <v>AUD-030</v>
      </c>
      <c r="B31" s="5" t="str">
        <f>RAW_DATA!C31</f>
        <v>21-Jun-26</v>
      </c>
      <c r="C31" s="4" t="str">
        <f>RAW_DATA!D31</f>
        <v>Meera Nair</v>
      </c>
      <c r="D31" s="4" t="str">
        <f>RAW_DATA!F31</f>
        <v>Personal Loan</v>
      </c>
      <c r="E31" s="12">
        <f>RAW_DATA!G31</f>
        <v>0</v>
      </c>
      <c r="F31" s="4" t="str">
        <f>IFERROR(IF(RAW_DATA!G31=1,"Correct","Error")," ")</f>
        <v>Error</v>
      </c>
      <c r="G31" s="4" t="str">
        <f>IF(RAW_DATA!H31="","",RAW_DATA!H31)</f>
        <v>Calculation Error</v>
      </c>
      <c r="H31" s="9">
        <f>RAW_DATA!I31</f>
        <v>10.199999999999999</v>
      </c>
      <c r="I31" s="4" t="str">
        <f>IFERROR(IF(RAW_DATA!I31&lt;=8,"Met","Breached"),"")</f>
        <v>Breached</v>
      </c>
    </row>
    <row r="32" spans="1:9" x14ac:dyDescent="0.3">
      <c r="A32" s="4" t="str">
        <f>RAW_DATA!A32</f>
        <v>AUD-031</v>
      </c>
      <c r="B32" s="5" t="str">
        <f>RAW_DATA!C32</f>
        <v>21-Jun-26</v>
      </c>
      <c r="C32" s="4" t="str">
        <f>RAW_DATA!D32</f>
        <v>Priya Sharma</v>
      </c>
      <c r="D32" s="4" t="str">
        <f>RAW_DATA!F32</f>
        <v>Gold Loan</v>
      </c>
      <c r="E32" s="12">
        <f>RAW_DATA!G32</f>
        <v>1</v>
      </c>
      <c r="F32" s="4" t="str">
        <f>IFERROR(IF(RAW_DATA!G32=1,"Correct","Error")," ")</f>
        <v>Correct</v>
      </c>
      <c r="G32" s="4" t="str">
        <f>IF(RAW_DATA!H32="","",RAW_DATA!H32)</f>
        <v/>
      </c>
      <c r="H32" s="9">
        <v>7.5</v>
      </c>
      <c r="I32" s="4" t="str">
        <f>IFERROR(IF(RAW_DATA!I32&lt;=8,"Met","Breached"),"")</f>
        <v>Met</v>
      </c>
    </row>
    <row r="33" spans="1:9" x14ac:dyDescent="0.3">
      <c r="A33" s="4" t="str">
        <f>RAW_DATA!A33</f>
        <v>AUD-032</v>
      </c>
      <c r="B33" s="5" t="str">
        <f>RAW_DATA!C33</f>
        <v>21-Jun-26</v>
      </c>
      <c r="C33" s="4" t="str">
        <f>RAW_DATA!D33</f>
        <v>Rohan Mehta</v>
      </c>
      <c r="D33" s="4" t="str">
        <f>RAW_DATA!F33</f>
        <v>MSME Loan</v>
      </c>
      <c r="E33" s="12">
        <f>RAW_DATA!G33</f>
        <v>1</v>
      </c>
      <c r="F33" s="4" t="str">
        <f>IFERROR(IF(RAW_DATA!G33=1,"Correct","Error")," ")</f>
        <v>Correct</v>
      </c>
      <c r="G33" s="4" t="str">
        <f>IF(RAW_DATA!H33="","",RAW_DATA!H33)</f>
        <v/>
      </c>
      <c r="H33" s="9">
        <f>RAW_DATA!I33</f>
        <v>5.2</v>
      </c>
      <c r="I33" s="4" t="str">
        <f>IFERROR(IF(RAW_DATA!I33&lt;=8,"Met","Breached"),"")</f>
        <v>Met</v>
      </c>
    </row>
    <row r="34" spans="1:9" x14ac:dyDescent="0.3">
      <c r="A34" s="4" t="str">
        <f>RAW_DATA!A34</f>
        <v>AUD-033</v>
      </c>
      <c r="B34" s="5" t="str">
        <f>RAW_DATA!C34</f>
        <v>21-Jun-26</v>
      </c>
      <c r="C34" s="4" t="str">
        <f>RAW_DATA!D34</f>
        <v>Sneha Patil</v>
      </c>
      <c r="D34" s="4" t="str">
        <f>RAW_DATA!F34</f>
        <v>Personal Loan</v>
      </c>
      <c r="E34" s="12">
        <f>RAW_DATA!G34</f>
        <v>1</v>
      </c>
      <c r="F34" s="4" t="str">
        <f>IFERROR(IF(RAW_DATA!G34=1,"Correct","Error")," ")</f>
        <v>Correct</v>
      </c>
      <c r="G34" s="4" t="str">
        <f>IF(RAW_DATA!H34="","",RAW_DATA!H34)</f>
        <v/>
      </c>
      <c r="H34" s="9">
        <f>RAW_DATA!I34</f>
        <v>6.3</v>
      </c>
      <c r="I34" s="4" t="str">
        <f>IFERROR(IF(RAW_DATA!I34&lt;=8,"Met","Breached"),"")</f>
        <v>Met</v>
      </c>
    </row>
    <row r="35" spans="1:9" x14ac:dyDescent="0.3">
      <c r="A35" s="4" t="str">
        <f>RAW_DATA!A35</f>
        <v>AUD-034</v>
      </c>
      <c r="B35" s="5" t="str">
        <f>RAW_DATA!C35</f>
        <v>21-Jun-26</v>
      </c>
      <c r="C35" s="4" t="str">
        <f>RAW_DATA!D35</f>
        <v>Karan Joshi</v>
      </c>
      <c r="D35" s="4" t="str">
        <f>RAW_DATA!F35</f>
        <v>Home Loan</v>
      </c>
      <c r="E35" s="12">
        <f>RAW_DATA!G35</f>
        <v>1</v>
      </c>
      <c r="F35" s="4" t="str">
        <f>IFERROR(IF(RAW_DATA!G35=1,"Correct","Error")," ")</f>
        <v>Correct</v>
      </c>
      <c r="G35" s="4" t="str">
        <f>IF(RAW_DATA!H35="","",RAW_DATA!H35)</f>
        <v/>
      </c>
      <c r="H35" s="9">
        <f>RAW_DATA!I35</f>
        <v>10.5</v>
      </c>
      <c r="I35" s="4" t="str">
        <f>IFERROR(IF(RAW_DATA!I35&lt;=8,"Met","Breached"),"")</f>
        <v>Breached</v>
      </c>
    </row>
    <row r="36" spans="1:9" x14ac:dyDescent="0.3">
      <c r="A36" s="4" t="str">
        <f>RAW_DATA!A36</f>
        <v>AUD-035</v>
      </c>
      <c r="B36" s="5" t="str">
        <f>RAW_DATA!C36</f>
        <v>21-Jun-26</v>
      </c>
      <c r="C36" s="4" t="str">
        <f>RAW_DATA!D36</f>
        <v>Priya Sharma</v>
      </c>
      <c r="D36" s="4" t="str">
        <f>RAW_DATA!F36</f>
        <v>Personal Loan</v>
      </c>
      <c r="E36" s="12">
        <f>RAW_DATA!G36</f>
        <v>1</v>
      </c>
      <c r="F36" s="4" t="str">
        <f>IFERROR(IF(RAW_DATA!G36=1,"Correct","Error")," ")</f>
        <v>Correct</v>
      </c>
      <c r="G36" s="4" t="str">
        <f>IF(RAW_DATA!H36="","",RAW_DATA!H36)</f>
        <v/>
      </c>
      <c r="H36" s="9">
        <f>RAW_DATA!I36</f>
        <v>7.3</v>
      </c>
      <c r="I36" s="4" t="str">
        <f>IFERROR(IF(RAW_DATA!I36&lt;=8,"Met","Breached"),"")</f>
        <v>Met</v>
      </c>
    </row>
    <row r="37" spans="1:9" x14ac:dyDescent="0.3">
      <c r="A37" s="4" t="str">
        <f>RAW_DATA!A37</f>
        <v>AUD-036</v>
      </c>
      <c r="B37" s="5" t="str">
        <f>RAW_DATA!C37</f>
        <v>21-Jun-26</v>
      </c>
      <c r="C37" s="4" t="str">
        <f>RAW_DATA!D37</f>
        <v>Meera Nair</v>
      </c>
      <c r="D37" s="4" t="str">
        <f>RAW_DATA!F37</f>
        <v>Gold Loan</v>
      </c>
      <c r="E37" s="12">
        <f>RAW_DATA!G37</f>
        <v>1</v>
      </c>
      <c r="F37" s="4" t="str">
        <f>IFERROR(IF(RAW_DATA!G37=1,"Correct","Error")," ")</f>
        <v>Correct</v>
      </c>
      <c r="G37" s="4" t="str">
        <f>IF(RAW_DATA!H37="","",RAW_DATA!H37)</f>
        <v/>
      </c>
      <c r="H37" s="9">
        <v>6.7</v>
      </c>
      <c r="I37" s="4" t="str">
        <f>IFERROR(IF(RAW_DATA!I37&lt;=8,"Met","Breached"),"")</f>
        <v>Met</v>
      </c>
    </row>
    <row r="38" spans="1:9" x14ac:dyDescent="0.3">
      <c r="A38" s="4" t="str">
        <f>RAW_DATA!A38</f>
        <v>AUD-037</v>
      </c>
      <c r="B38" s="5" t="str">
        <f>RAW_DATA!C38</f>
        <v>28-Jun-26</v>
      </c>
      <c r="C38" s="4" t="str">
        <f>RAW_DATA!D38</f>
        <v>Priya Sharma</v>
      </c>
      <c r="D38" s="4" t="str">
        <f>RAW_DATA!F38</f>
        <v>Home Loan</v>
      </c>
      <c r="E38" s="12">
        <f>RAW_DATA!G38</f>
        <v>0</v>
      </c>
      <c r="F38" s="4" t="str">
        <f>IFERROR(IF(RAW_DATA!G38=1,"Correct","Error")," ")</f>
        <v>Error</v>
      </c>
      <c r="G38" s="4" t="str">
        <f>IF(RAW_DATA!H38="","",RAW_DATA!H38)</f>
        <v>Policy Mismatch</v>
      </c>
      <c r="H38" s="9">
        <f>RAW_DATA!I38</f>
        <v>7.6</v>
      </c>
      <c r="I38" s="4" t="str">
        <f>IFERROR(IF(RAW_DATA!I38&lt;=8,"Met","Breached"),"")</f>
        <v>Met</v>
      </c>
    </row>
    <row r="39" spans="1:9" x14ac:dyDescent="0.3">
      <c r="A39" s="4" t="str">
        <f>RAW_DATA!A39</f>
        <v>AUD-038</v>
      </c>
      <c r="B39" s="5" t="str">
        <f>RAW_DATA!C39</f>
        <v>28-Jun-26</v>
      </c>
      <c r="C39" s="4" t="str">
        <f>RAW_DATA!D39</f>
        <v>Rohan Mehta</v>
      </c>
      <c r="D39" s="4" t="str">
        <f>RAW_DATA!F39</f>
        <v>Personal Loan</v>
      </c>
      <c r="E39" s="12">
        <f>RAW_DATA!G39</f>
        <v>1</v>
      </c>
      <c r="F39" s="4" t="str">
        <f>IFERROR(IF(RAW_DATA!G39=1,"Correct","Error")," ")</f>
        <v>Correct</v>
      </c>
      <c r="G39" s="4" t="str">
        <f>IF(RAW_DATA!H39="","",RAW_DATA!H39)</f>
        <v/>
      </c>
      <c r="H39" s="9">
        <f>RAW_DATA!I39</f>
        <v>8.5</v>
      </c>
      <c r="I39" s="4" t="str">
        <f>IFERROR(IF(RAW_DATA!I39&lt;=8,"Met","Breached"),"")</f>
        <v>Breached</v>
      </c>
    </row>
    <row r="40" spans="1:9" x14ac:dyDescent="0.3">
      <c r="A40" s="4" t="str">
        <f>RAW_DATA!A40</f>
        <v>AUD-039</v>
      </c>
      <c r="B40" s="5" t="str">
        <f>RAW_DATA!C40</f>
        <v>28-Jun-26</v>
      </c>
      <c r="C40" s="4" t="str">
        <f>RAW_DATA!D40</f>
        <v>Sneha Patil</v>
      </c>
      <c r="D40" s="4" t="str">
        <f>RAW_DATA!F40</f>
        <v>MSME Loan</v>
      </c>
      <c r="E40" s="12">
        <f>RAW_DATA!G40</f>
        <v>1</v>
      </c>
      <c r="F40" s="4" t="str">
        <f>IFERROR(IF(RAW_DATA!G40=1,"Correct","Error")," ")</f>
        <v>Correct</v>
      </c>
      <c r="G40" s="4" t="str">
        <f>IF(RAW_DATA!H40="","",RAW_DATA!H40)</f>
        <v/>
      </c>
      <c r="H40" s="9">
        <f>RAW_DATA!I40</f>
        <v>11</v>
      </c>
      <c r="I40" s="4" t="str">
        <f>IFERROR(IF(RAW_DATA!I40&lt;=8,"Met","Breached"),"")</f>
        <v>Breached</v>
      </c>
    </row>
    <row r="41" spans="1:9" x14ac:dyDescent="0.3">
      <c r="A41" s="4" t="str">
        <f>RAW_DATA!A41</f>
        <v>AUD-040</v>
      </c>
      <c r="B41" s="5" t="str">
        <f>RAW_DATA!C41</f>
        <v>28-Jun-26</v>
      </c>
      <c r="C41" s="4" t="str">
        <f>RAW_DATA!D41</f>
        <v>Karan Joshi</v>
      </c>
      <c r="D41" s="4" t="str">
        <f>RAW_DATA!F41</f>
        <v>Gold Loan</v>
      </c>
      <c r="E41" s="12">
        <f>RAW_DATA!G41</f>
        <v>1</v>
      </c>
      <c r="F41" s="4" t="str">
        <f>IFERROR(IF(RAW_DATA!G41=1,"Correct","Error")," ")</f>
        <v>Correct</v>
      </c>
      <c r="G41" s="4" t="str">
        <f>IF(RAW_DATA!H41="","",RAW_DATA!H41)</f>
        <v/>
      </c>
      <c r="H41" s="9">
        <f>RAW_DATA!I41</f>
        <v>11.2</v>
      </c>
      <c r="I41" s="4" t="str">
        <f>IFERROR(IF(RAW_DATA!I41&lt;=8,"Met","Breached"),"")</f>
        <v>Breached</v>
      </c>
    </row>
    <row r="42" spans="1:9" x14ac:dyDescent="0.3">
      <c r="A42" s="4" t="str">
        <f>RAW_DATA!A42</f>
        <v>AUD-041</v>
      </c>
      <c r="B42" s="5" t="str">
        <f>RAW_DATA!C42</f>
        <v>28-Jun-26</v>
      </c>
      <c r="C42" s="4" t="str">
        <f>RAW_DATA!D42</f>
        <v>Meera Nair</v>
      </c>
      <c r="D42" s="4" t="str">
        <f>RAW_DATA!F42</f>
        <v>Personal Loan</v>
      </c>
      <c r="E42" s="12">
        <f>RAW_DATA!G42</f>
        <v>1</v>
      </c>
      <c r="F42" s="4" t="str">
        <f>IFERROR(IF(RAW_DATA!G42=1,"Correct","Error")," ")</f>
        <v>Correct</v>
      </c>
      <c r="G42" s="4" t="str">
        <f>IF(RAW_DATA!H42="","",RAW_DATA!H42)</f>
        <v/>
      </c>
      <c r="H42" s="9">
        <f>RAW_DATA!I42</f>
        <v>7</v>
      </c>
      <c r="I42" s="4" t="str">
        <f>IFERROR(IF(RAW_DATA!I42&lt;=8,"Met","Breached"),"")</f>
        <v>Met</v>
      </c>
    </row>
    <row r="43" spans="1:9" x14ac:dyDescent="0.3">
      <c r="A43" s="4" t="str">
        <f>RAW_DATA!A43</f>
        <v>AUD-042</v>
      </c>
      <c r="B43" s="5" t="str">
        <f>RAW_DATA!C43</f>
        <v>28-Jun-26</v>
      </c>
      <c r="C43" s="4" t="str">
        <f>RAW_DATA!D43</f>
        <v>Priya Sharma</v>
      </c>
      <c r="D43" s="4" t="str">
        <f>RAW_DATA!F43</f>
        <v>MSME Loan</v>
      </c>
      <c r="E43" s="12">
        <f>RAW_DATA!G43</f>
        <v>1</v>
      </c>
      <c r="F43" s="4" t="str">
        <f>IFERROR(IF(RAW_DATA!G43=1,"Correct","Error")," ")</f>
        <v>Correct</v>
      </c>
      <c r="G43" s="4" t="str">
        <f>IF(RAW_DATA!H43="","",RAW_DATA!H43)</f>
        <v/>
      </c>
      <c r="H43" s="9">
        <f>RAW_DATA!I43</f>
        <v>5.2</v>
      </c>
      <c r="I43" s="4" t="str">
        <f>IFERROR(IF(RAW_DATA!I43&lt;=8,"Met","Breached"),"")</f>
        <v>Met</v>
      </c>
    </row>
    <row r="44" spans="1:9" x14ac:dyDescent="0.3">
      <c r="A44" s="4" t="str">
        <f>RAW_DATA!A44</f>
        <v>AUD-043</v>
      </c>
      <c r="B44" s="5" t="str">
        <f>RAW_DATA!C44</f>
        <v>28-Jun-26</v>
      </c>
      <c r="C44" s="4" t="str">
        <f>RAW_DATA!D44</f>
        <v>Rohan Mehta</v>
      </c>
      <c r="D44" s="4" t="str">
        <f>RAW_DATA!F44</f>
        <v>Home Loan</v>
      </c>
      <c r="E44" s="12">
        <f>RAW_DATA!G44</f>
        <v>1</v>
      </c>
      <c r="F44" s="4" t="str">
        <f>IFERROR(IF(RAW_DATA!G44=1,"Correct","Error")," ")</f>
        <v>Correct</v>
      </c>
      <c r="G44" s="4" t="str">
        <f>IF(RAW_DATA!H44="","",RAW_DATA!H44)</f>
        <v/>
      </c>
      <c r="H44" s="9">
        <f>RAW_DATA!I44</f>
        <v>6</v>
      </c>
      <c r="I44" s="4" t="str">
        <f>IFERROR(IF(RAW_DATA!I44&lt;=8,"Met","Breached"),"")</f>
        <v>Met</v>
      </c>
    </row>
    <row r="45" spans="1:9" x14ac:dyDescent="0.3">
      <c r="A45" s="4" t="str">
        <f>RAW_DATA!A45</f>
        <v>AUD-044</v>
      </c>
      <c r="B45" s="5" t="str">
        <f>RAW_DATA!C45</f>
        <v>28-Jun-26</v>
      </c>
      <c r="C45" s="4" t="str">
        <f>RAW_DATA!D45</f>
        <v>Sneha Patil</v>
      </c>
      <c r="D45" s="4" t="str">
        <f>RAW_DATA!F45</f>
        <v>Gold Loan</v>
      </c>
      <c r="E45" s="12">
        <f>RAW_DATA!G45</f>
        <v>1</v>
      </c>
      <c r="F45" s="4" t="str">
        <f>IFERROR(IF(RAW_DATA!G45=1,"Correct","Error")," ")</f>
        <v>Correct</v>
      </c>
      <c r="G45" s="4" t="str">
        <f>IF(RAW_DATA!H45="","",RAW_DATA!H45)</f>
        <v/>
      </c>
      <c r="H45" s="9">
        <f>RAW_DATA!I45</f>
        <v>7.5</v>
      </c>
      <c r="I45" s="4" t="str">
        <f>IFERROR(IF(RAW_DATA!I45&lt;=8,"Met","Breached"),"")</f>
        <v>Met</v>
      </c>
    </row>
    <row r="46" spans="1:9" x14ac:dyDescent="0.3">
      <c r="A46" s="4" t="str">
        <f>RAW_DATA!A46</f>
        <v>AUD-045</v>
      </c>
      <c r="B46" s="5" t="str">
        <f>RAW_DATA!C46</f>
        <v>28-Jun-26</v>
      </c>
      <c r="C46" s="4" t="str">
        <f>RAW_DATA!D46</f>
        <v>Karan Joshi</v>
      </c>
      <c r="D46" s="4" t="str">
        <f>RAW_DATA!F46</f>
        <v>Personal Loan</v>
      </c>
      <c r="E46" s="12">
        <f>RAW_DATA!G46</f>
        <v>1</v>
      </c>
      <c r="F46" s="4" t="str">
        <f>IFERROR(IF(RAW_DATA!G46=1,"Correct","Error")," ")</f>
        <v>Correct</v>
      </c>
      <c r="G46" s="4" t="str">
        <f>IF(RAW_DATA!H46="","",RAW_DATA!H46)</f>
        <v/>
      </c>
      <c r="H46" s="9">
        <f>RAW_DATA!I46</f>
        <v>6.8</v>
      </c>
      <c r="I46" s="4" t="str">
        <f>IFERROR(IF(RAW_DATA!I46&lt;=8,"Met","Breached"),"")</f>
        <v>Met</v>
      </c>
    </row>
    <row r="47" spans="1:9" x14ac:dyDescent="0.3">
      <c r="A47" s="4" t="str">
        <f>RAW_DATA!A47</f>
        <v>AUD-046</v>
      </c>
      <c r="B47" s="5" t="str">
        <f>RAW_DATA!C47</f>
        <v>28-Jun-26</v>
      </c>
      <c r="C47" s="4" t="str">
        <f>RAW_DATA!D47</f>
        <v>Meera Nair</v>
      </c>
      <c r="D47" s="4" t="str">
        <f>RAW_DATA!F47</f>
        <v>Home Loan</v>
      </c>
      <c r="E47" s="12">
        <f>RAW_DATA!G47</f>
        <v>1</v>
      </c>
      <c r="F47" s="4" t="str">
        <f>IFERROR(IF(RAW_DATA!G47=1,"Correct","Error")," ")</f>
        <v>Correct</v>
      </c>
      <c r="G47" s="4" t="str">
        <f>IF(RAW_DATA!H47="","",RAW_DATA!H47)</f>
        <v/>
      </c>
      <c r="H47" s="9">
        <v>6.6</v>
      </c>
      <c r="I47" s="4" t="str">
        <f>IFERROR(IF(RAW_DATA!I47&lt;=8,"Met","Breached"),"")</f>
        <v>Met</v>
      </c>
    </row>
    <row r="48" spans="1:9" x14ac:dyDescent="0.3">
      <c r="A48" s="4" t="str">
        <f>RAW_DATA!A48</f>
        <v>AUD-047</v>
      </c>
      <c r="B48" s="5" t="str">
        <f>RAW_DATA!C48</f>
        <v>28-Jun-26</v>
      </c>
      <c r="C48" s="4" t="str">
        <f>RAW_DATA!D48</f>
        <v>Priya Sharma</v>
      </c>
      <c r="D48" s="4" t="str">
        <f>RAW_DATA!F48</f>
        <v>Gold Loan</v>
      </c>
      <c r="E48" s="12">
        <f>RAW_DATA!G48</f>
        <v>1</v>
      </c>
      <c r="F48" s="4" t="str">
        <f>IFERROR(IF(RAW_DATA!G48=1,"Correct","Error")," ")</f>
        <v>Correct</v>
      </c>
      <c r="G48" s="4" t="str">
        <f>IF(RAW_DATA!H48="","",RAW_DATA!H48)</f>
        <v/>
      </c>
      <c r="H48" s="9">
        <f>RAW_DATA!I48</f>
        <v>6.5</v>
      </c>
      <c r="I48" s="4" t="str">
        <f>IFERROR(IF(RAW_DATA!I48&lt;=8,"Met","Breached"),"")</f>
        <v>Met</v>
      </c>
    </row>
    <row r="49" spans="1:9" x14ac:dyDescent="0.3">
      <c r="A49" s="4" t="str">
        <f>RAW_DATA!A49</f>
        <v>AUD-048</v>
      </c>
      <c r="B49" s="5" t="str">
        <f>RAW_DATA!C49</f>
        <v>28-Jun-26</v>
      </c>
      <c r="C49" s="4" t="str">
        <f>RAW_DATA!D49</f>
        <v>Rohan Mehta</v>
      </c>
      <c r="D49" s="4" t="str">
        <f>RAW_DATA!F49</f>
        <v>MSME Loan</v>
      </c>
      <c r="E49" s="12">
        <f>RAW_DATA!G49</f>
        <v>1</v>
      </c>
      <c r="F49" s="4" t="str">
        <f>IFERROR(IF(RAW_DATA!G49=1,"Correct","Error")," ")</f>
        <v>Correct</v>
      </c>
      <c r="G49" s="4" t="str">
        <f>IF(RAW_DATA!H49="","",RAW_DATA!H49)</f>
        <v/>
      </c>
      <c r="H49" s="9">
        <f>RAW_DATA!I49</f>
        <v>7.8</v>
      </c>
      <c r="I49" s="4" t="str">
        <f>IFERROR(IF(RAW_DATA!I49&lt;=8,"Met","Breached"),"")</f>
        <v>Met</v>
      </c>
    </row>
    <row r="50" spans="1:9" x14ac:dyDescent="0.3">
      <c r="A50" s="4" t="str">
        <f>RAW_DATA!A50</f>
        <v>AUD-049</v>
      </c>
      <c r="B50" s="5" t="str">
        <f>RAW_DATA!C50</f>
        <v>28-Jun-26</v>
      </c>
      <c r="C50" s="4" t="str">
        <f>RAW_DATA!D50</f>
        <v>Sneha Patil</v>
      </c>
      <c r="D50" s="4" t="str">
        <f>RAW_DATA!F50</f>
        <v>Home Loan</v>
      </c>
      <c r="E50" s="12">
        <f>RAW_DATA!G50</f>
        <v>1</v>
      </c>
      <c r="F50" s="4" t="str">
        <f>IFERROR(IF(RAW_DATA!G50=1,"Correct","Error")," ")</f>
        <v>Correct</v>
      </c>
      <c r="G50" s="4" t="str">
        <f>IF(RAW_DATA!H50="","",RAW_DATA!H50)</f>
        <v/>
      </c>
      <c r="H50" s="9">
        <v>6.5</v>
      </c>
      <c r="I50" s="4" t="str">
        <f>IFERROR(IF(RAW_DATA!I50&lt;=8,"Met","Breached"),"")</f>
        <v>Met</v>
      </c>
    </row>
    <row r="51" spans="1:9" x14ac:dyDescent="0.3">
      <c r="A51" s="4" t="str">
        <f>RAW_DATA!A51</f>
        <v>AUD-050</v>
      </c>
      <c r="B51" s="5" t="str">
        <f>RAW_DATA!C51</f>
        <v>28-Jun-26</v>
      </c>
      <c r="C51" s="4" t="str">
        <f>RAW_DATA!D51</f>
        <v>Karan Joshi</v>
      </c>
      <c r="D51" s="4" t="str">
        <f>RAW_DATA!F51</f>
        <v>Personal Loan</v>
      </c>
      <c r="E51" s="12">
        <f>RAW_DATA!G51</f>
        <v>1</v>
      </c>
      <c r="F51" s="4" t="str">
        <f>IFERROR(IF(RAW_DATA!G51=1,"Correct","Error")," ")</f>
        <v>Correct</v>
      </c>
      <c r="G51" s="4" t="str">
        <f>IF(RAW_DATA!H51="","",RAW_DATA!H51)</f>
        <v/>
      </c>
      <c r="H51" s="9">
        <v>7.5</v>
      </c>
      <c r="I51" s="4" t="str">
        <f>IFERROR(IF(RAW_DATA!I51&lt;=8,"Met","Breached"),"")</f>
        <v>Met</v>
      </c>
    </row>
    <row r="52" spans="1:9" x14ac:dyDescent="0.3">
      <c r="A52" s="4" t="str">
        <f>RAW_DATA!A52</f>
        <v>AUD-051</v>
      </c>
      <c r="B52" s="5" t="str">
        <f>RAW_DATA!C52</f>
        <v>28-Jun-26</v>
      </c>
      <c r="C52" s="4" t="str">
        <f>RAW_DATA!D52</f>
        <v>Sneha Patil</v>
      </c>
      <c r="D52" s="4" t="str">
        <f>RAW_DATA!F52</f>
        <v>Home Loan</v>
      </c>
      <c r="E52" s="12">
        <f>RAW_DATA!G52</f>
        <v>1</v>
      </c>
      <c r="F52" s="4" t="str">
        <f>IFERROR(IF(RAW_DATA!G52=1,"Correct","Error")," ")</f>
        <v>Correct</v>
      </c>
      <c r="G52" s="4" t="str">
        <f>IF(RAW_DATA!H52="","",RAW_DATA!H52)</f>
        <v/>
      </c>
      <c r="H52" s="9">
        <v>8.5</v>
      </c>
      <c r="I52" s="4" t="str">
        <f>IFERROR(IF(RAW_DATA!I52&lt;=8,"Met","Breached"),"")</f>
        <v>Met</v>
      </c>
    </row>
    <row r="53" spans="1:9" x14ac:dyDescent="0.3">
      <c r="A53" s="4" t="str">
        <f>RAW_DATA!A53</f>
        <v>AUD-052</v>
      </c>
      <c r="B53" s="5" t="str">
        <f>RAW_DATA!C53</f>
        <v>28-Jun-26</v>
      </c>
      <c r="C53" s="4" t="str">
        <f>RAW_DATA!D53</f>
        <v>Sneha Patil</v>
      </c>
      <c r="D53" s="4" t="str">
        <f>RAW_DATA!F53</f>
        <v>Home Loan</v>
      </c>
      <c r="E53" s="12">
        <f>RAW_DATA!G53</f>
        <v>1</v>
      </c>
      <c r="F53" s="4" t="str">
        <f>IFERROR(IF(RAW_DATA!G53=1,"Correct","Error")," ")</f>
        <v>Correct</v>
      </c>
      <c r="G53" s="4" t="str">
        <f>IF(RAW_DATA!H53="","",RAW_DATA!H53)</f>
        <v/>
      </c>
      <c r="H53" s="9">
        <v>9.5</v>
      </c>
      <c r="I53" s="4" t="str">
        <f>IFERROR(IF(RAW_DATA!I53&lt;=8,"Met","Breached"),"")</f>
        <v>Met</v>
      </c>
    </row>
    <row r="54" spans="1:9" x14ac:dyDescent="0.3">
      <c r="A54" s="4" t="str">
        <f>RAW_DATA!A54</f>
        <v>AUD-053</v>
      </c>
      <c r="B54" s="5" t="str">
        <f>RAW_DATA!C54</f>
        <v>28-Jun-26</v>
      </c>
      <c r="C54" s="4" t="str">
        <f>RAW_DATA!D54</f>
        <v>Sneha Patil</v>
      </c>
      <c r="D54" s="4" t="str">
        <f>RAW_DATA!F54</f>
        <v>Home Loan</v>
      </c>
      <c r="E54" s="12">
        <f>RAW_DATA!G54</f>
        <v>1</v>
      </c>
      <c r="F54" s="4" t="str">
        <f>IFERROR(IF(RAW_DATA!G54=1,"Correct","Error")," ")</f>
        <v>Correct</v>
      </c>
      <c r="G54" s="4" t="str">
        <f>IF(RAW_DATA!H54="","",RAW_DATA!H54)</f>
        <v/>
      </c>
      <c r="H54" s="9">
        <v>10.5</v>
      </c>
      <c r="I54" s="4" t="str">
        <f>IFERROR(IF(RAW_DATA!I54&lt;=8,"Met","Breached"),"")</f>
        <v>Met</v>
      </c>
    </row>
    <row r="55" spans="1:9" x14ac:dyDescent="0.3">
      <c r="A55" s="4" t="str">
        <f>RAW_DATA!A55</f>
        <v>AUD-054</v>
      </c>
      <c r="B55" s="5" t="str">
        <f>RAW_DATA!C55</f>
        <v>28-Jun-26</v>
      </c>
      <c r="C55" s="4" t="str">
        <f>RAW_DATA!D55</f>
        <v>Meera Nair</v>
      </c>
      <c r="D55" s="4" t="str">
        <f>RAW_DATA!F55</f>
        <v>Personal Loan</v>
      </c>
      <c r="E55" s="12">
        <f>RAW_DATA!G55</f>
        <v>1</v>
      </c>
      <c r="F55" s="4" t="str">
        <f>IFERROR(IF(RAW_DATA!G55=1,"Correct","Error")," ")</f>
        <v>Correct</v>
      </c>
      <c r="G55" s="4" t="str">
        <f>IF(RAW_DATA!H55="","",RAW_DATA!H55)</f>
        <v/>
      </c>
      <c r="H55" s="9">
        <v>11.5</v>
      </c>
      <c r="I55" s="4" t="str">
        <f>IFERROR(IF(RAW_DATA!I55&lt;=8,"Met","Breached"),"")</f>
        <v>Met</v>
      </c>
    </row>
    <row r="56" spans="1:9" x14ac:dyDescent="0.3">
      <c r="A56" s="4" t="str">
        <f>RAW_DATA!A56</f>
        <v>AUD-055</v>
      </c>
      <c r="B56" s="5" t="str">
        <f>RAW_DATA!C56</f>
        <v>28-Jun-26</v>
      </c>
      <c r="C56" s="4" t="str">
        <f>RAW_DATA!D56</f>
        <v>Meera Nair</v>
      </c>
      <c r="D56" s="4" t="str">
        <f>RAW_DATA!F56</f>
        <v>Personal Loan</v>
      </c>
      <c r="E56" s="12">
        <f>RAW_DATA!G56</f>
        <v>1</v>
      </c>
      <c r="F56" s="4" t="str">
        <f>IFERROR(IF(RAW_DATA!G56=1,"Correct","Error")," ")</f>
        <v>Correct</v>
      </c>
      <c r="G56" s="4" t="str">
        <f>IF(RAW_DATA!H56="","",RAW_DATA!H56)</f>
        <v/>
      </c>
      <c r="H56" s="9">
        <v>12.5</v>
      </c>
      <c r="I56" s="4" t="str">
        <f>IFERROR(IF(RAW_DATA!I56&lt;=8,"Met","Breached"),"")</f>
        <v>Met</v>
      </c>
    </row>
    <row r="57" spans="1:9" x14ac:dyDescent="0.3">
      <c r="A57" s="4"/>
      <c r="B57" s="5"/>
      <c r="C57" s="4"/>
      <c r="D57" s="4"/>
      <c r="E57" s="12"/>
      <c r="F57" s="4"/>
      <c r="G57" s="4"/>
      <c r="H57" s="9"/>
      <c r="I57" s="4"/>
    </row>
    <row r="58" spans="1:9" x14ac:dyDescent="0.3">
      <c r="A58" s="6"/>
      <c r="B58" s="7"/>
      <c r="C58" s="6"/>
      <c r="D58" s="6"/>
      <c r="E58" s="14"/>
      <c r="F58" s="6"/>
      <c r="G58" s="6"/>
      <c r="H58" s="15"/>
      <c r="I58" s="6"/>
    </row>
    <row r="59" spans="1:9" x14ac:dyDescent="0.3">
      <c r="A59" s="6"/>
      <c r="B59" s="7"/>
      <c r="C59" s="6"/>
      <c r="D59" s="6"/>
      <c r="E59" s="14"/>
      <c r="F59" s="6"/>
      <c r="G59" s="6"/>
      <c r="H59" s="15"/>
      <c r="I59" s="6"/>
    </row>
    <row r="60" spans="1:9" x14ac:dyDescent="0.3">
      <c r="A60" s="6"/>
      <c r="B60" s="7"/>
      <c r="C60" s="6"/>
      <c r="D60" s="6"/>
      <c r="E60" s="14"/>
      <c r="F60" s="6"/>
      <c r="G60" s="6"/>
      <c r="H60" s="15"/>
      <c r="I60" s="6"/>
    </row>
    <row r="61" spans="1:9" x14ac:dyDescent="0.3">
      <c r="A61" s="6"/>
      <c r="B61" s="7"/>
      <c r="C61" s="6"/>
      <c r="D61" s="6"/>
      <c r="E61" s="14"/>
      <c r="F61" s="6"/>
      <c r="G61" s="6"/>
      <c r="H61" s="15"/>
      <c r="I61" s="6"/>
    </row>
    <row r="62" spans="1:9" x14ac:dyDescent="0.3">
      <c r="A62" s="6"/>
      <c r="B62" s="7"/>
      <c r="C62" s="6"/>
      <c r="D62" s="6"/>
      <c r="E62" s="14"/>
      <c r="F62" s="6"/>
      <c r="G62" s="6"/>
      <c r="H62" s="15"/>
      <c r="I62" s="6"/>
    </row>
    <row r="63" spans="1:9" x14ac:dyDescent="0.3">
      <c r="A63" s="6"/>
      <c r="B63" s="7"/>
      <c r="C63" s="6"/>
      <c r="D63" s="6"/>
      <c r="E63" s="14"/>
      <c r="F63" s="6"/>
      <c r="G63" s="6"/>
      <c r="H63" s="15"/>
      <c r="I63" s="6"/>
    </row>
    <row r="64" spans="1:9" x14ac:dyDescent="0.3">
      <c r="A64" s="6"/>
      <c r="B64" s="7"/>
      <c r="C64" s="6"/>
      <c r="D64" s="6"/>
      <c r="E64" s="14"/>
      <c r="F64" s="6"/>
      <c r="G64" s="6"/>
      <c r="H64" s="15"/>
      <c r="I64" s="6"/>
    </row>
    <row r="65" spans="1:9" x14ac:dyDescent="0.3">
      <c r="A65" s="6"/>
      <c r="B65" s="7"/>
      <c r="C65" s="6"/>
      <c r="D65" s="6"/>
      <c r="E65" s="14"/>
      <c r="F65" s="6"/>
      <c r="G65" s="6"/>
      <c r="H65" s="15"/>
      <c r="I65" s="6"/>
    </row>
    <row r="66" spans="1:9" x14ac:dyDescent="0.3">
      <c r="A66" s="6"/>
      <c r="B66" s="7"/>
      <c r="C66" s="6"/>
      <c r="D66" s="6"/>
      <c r="E66" s="14"/>
      <c r="F66" s="6"/>
      <c r="G66" s="6"/>
      <c r="H66" s="15"/>
      <c r="I66" s="6"/>
    </row>
    <row r="67" spans="1:9" x14ac:dyDescent="0.3">
      <c r="A67" s="6"/>
      <c r="B67" s="7"/>
      <c r="C67" s="6"/>
      <c r="D67" s="6"/>
      <c r="E67" s="14"/>
      <c r="F67" s="6"/>
      <c r="G67" s="6"/>
      <c r="H67" s="15"/>
      <c r="I67" s="6"/>
    </row>
    <row r="68" spans="1:9" x14ac:dyDescent="0.3">
      <c r="A68" s="6"/>
      <c r="B68" s="7"/>
      <c r="C68" s="6"/>
      <c r="D68" s="6"/>
      <c r="E68" s="14"/>
      <c r="F68" s="6"/>
      <c r="G68" s="6"/>
      <c r="H68" s="15"/>
      <c r="I68" s="6"/>
    </row>
    <row r="69" spans="1:9" x14ac:dyDescent="0.3">
      <c r="A69" s="6"/>
      <c r="B69" s="7"/>
      <c r="C69" s="6"/>
      <c r="D69" s="6"/>
      <c r="E69" s="14"/>
      <c r="F69" s="6"/>
      <c r="G69" s="6"/>
      <c r="H69" s="15"/>
      <c r="I69" s="6"/>
    </row>
    <row r="70" spans="1:9" x14ac:dyDescent="0.3">
      <c r="A70" s="6"/>
      <c r="B70" s="7"/>
      <c r="C70" s="6"/>
      <c r="D70" s="6"/>
      <c r="E70" s="14"/>
      <c r="F70" s="6"/>
      <c r="G70" s="6"/>
      <c r="H70" s="15"/>
      <c r="I70" s="6"/>
    </row>
    <row r="71" spans="1:9" x14ac:dyDescent="0.3">
      <c r="A71" s="6"/>
      <c r="B71" s="7"/>
      <c r="C71" s="6"/>
      <c r="D71" s="6"/>
      <c r="E71" s="14"/>
      <c r="F71" s="6"/>
      <c r="G71" s="6"/>
      <c r="H71" s="15"/>
      <c r="I71" s="6"/>
    </row>
    <row r="72" spans="1:9" x14ac:dyDescent="0.3">
      <c r="A72" s="6"/>
      <c r="B72" s="7"/>
      <c r="C72" s="6"/>
      <c r="D72" s="6"/>
      <c r="E72" s="14"/>
      <c r="F72" s="6"/>
      <c r="G72" s="6"/>
      <c r="H72" s="15"/>
      <c r="I72" s="6"/>
    </row>
    <row r="73" spans="1:9" x14ac:dyDescent="0.3">
      <c r="A73" s="6"/>
      <c r="B73" s="7"/>
      <c r="C73" s="6"/>
      <c r="D73" s="6"/>
      <c r="E73" s="14"/>
      <c r="F73" s="6"/>
      <c r="G73" s="6"/>
      <c r="H73" s="15"/>
      <c r="I73" s="6"/>
    </row>
    <row r="74" spans="1:9" x14ac:dyDescent="0.3">
      <c r="A74" s="6"/>
      <c r="B74" s="7"/>
      <c r="C74" s="6"/>
      <c r="D74" s="6"/>
      <c r="E74" s="14"/>
      <c r="F74" s="6"/>
      <c r="G74" s="6"/>
      <c r="H74" s="15"/>
      <c r="I74" s="6"/>
    </row>
    <row r="75" spans="1:9" x14ac:dyDescent="0.3">
      <c r="A75" s="6"/>
      <c r="B75" s="7"/>
      <c r="C75" s="6"/>
      <c r="D75" s="6"/>
      <c r="E75" s="14"/>
      <c r="F75" s="6"/>
      <c r="G75" s="6"/>
      <c r="H75" s="15"/>
      <c r="I75" s="6"/>
    </row>
    <row r="76" spans="1:9" x14ac:dyDescent="0.3">
      <c r="A76" s="6"/>
      <c r="B76" s="7"/>
      <c r="C76" s="6"/>
      <c r="D76" s="6"/>
      <c r="E76" s="14"/>
      <c r="F76" s="6"/>
      <c r="G76" s="6"/>
      <c r="H76" s="15"/>
      <c r="I76" s="6"/>
    </row>
    <row r="77" spans="1:9" x14ac:dyDescent="0.3">
      <c r="A77" s="6"/>
      <c r="B77" s="7"/>
      <c r="C77" s="6"/>
      <c r="D77" s="6"/>
      <c r="E77" s="14"/>
      <c r="F77" s="6"/>
      <c r="G77" s="6"/>
      <c r="H77" s="15"/>
      <c r="I77" s="6"/>
    </row>
    <row r="78" spans="1:9" x14ac:dyDescent="0.3">
      <c r="A78" s="6"/>
      <c r="B78" s="7"/>
      <c r="C78" s="6"/>
      <c r="D78" s="6"/>
      <c r="E78" s="14"/>
      <c r="F78" s="6"/>
      <c r="G78" s="6"/>
      <c r="H78" s="15"/>
      <c r="I78" s="6"/>
    </row>
    <row r="79" spans="1:9" x14ac:dyDescent="0.3">
      <c r="A79" s="6"/>
      <c r="B79" s="7"/>
      <c r="C79" s="6"/>
      <c r="D79" s="6"/>
      <c r="E79" s="14"/>
      <c r="F79" s="6"/>
      <c r="G79" s="6"/>
      <c r="H79" s="15"/>
      <c r="I79" s="6"/>
    </row>
    <row r="80" spans="1:9" x14ac:dyDescent="0.3">
      <c r="A80" s="6"/>
      <c r="B80" s="7"/>
      <c r="C80" s="6"/>
      <c r="D80" s="6"/>
      <c r="E80" s="14"/>
      <c r="F80" s="6"/>
      <c r="G80" s="6"/>
      <c r="H80" s="15"/>
      <c r="I80" s="6"/>
    </row>
    <row r="81" spans="1:9" x14ac:dyDescent="0.3">
      <c r="A81" s="6"/>
      <c r="B81" s="7"/>
      <c r="C81" s="6"/>
      <c r="D81" s="6"/>
      <c r="E81" s="14"/>
      <c r="F81" s="6"/>
      <c r="G81" s="6"/>
      <c r="H81" s="15"/>
      <c r="I81" s="6"/>
    </row>
    <row r="82" spans="1:9" x14ac:dyDescent="0.3">
      <c r="A82" s="6"/>
      <c r="B82" s="7"/>
      <c r="C82" s="6"/>
      <c r="D82" s="6"/>
      <c r="E82" s="14"/>
      <c r="F82" s="6"/>
      <c r="G82" s="6"/>
      <c r="H82" s="15"/>
      <c r="I82" s="6"/>
    </row>
    <row r="83" spans="1:9" x14ac:dyDescent="0.3">
      <c r="A83" s="6"/>
      <c r="B83" s="7"/>
      <c r="C83" s="6"/>
      <c r="D83" s="6"/>
      <c r="E83" s="14"/>
      <c r="F83" s="6"/>
      <c r="G83" s="6"/>
      <c r="H83" s="15"/>
      <c r="I83" s="6"/>
    </row>
    <row r="84" spans="1:9" x14ac:dyDescent="0.3">
      <c r="A84" s="6"/>
      <c r="B84" s="7"/>
      <c r="C84" s="6"/>
      <c r="D84" s="6"/>
      <c r="E84" s="14"/>
      <c r="F84" s="6"/>
      <c r="G84" s="6"/>
      <c r="H84" s="15"/>
      <c r="I84" s="6"/>
    </row>
    <row r="85" spans="1:9" x14ac:dyDescent="0.3">
      <c r="A85" s="6"/>
      <c r="B85" s="7"/>
      <c r="C85" s="6"/>
      <c r="D85" s="6"/>
      <c r="E85" s="14"/>
      <c r="F85" s="6"/>
      <c r="G85" s="6"/>
      <c r="H85" s="15"/>
      <c r="I85" s="6"/>
    </row>
    <row r="86" spans="1:9" x14ac:dyDescent="0.3">
      <c r="A86" s="6"/>
      <c r="B86" s="7"/>
      <c r="C86" s="6"/>
      <c r="D86" s="6"/>
      <c r="E86" s="14"/>
      <c r="F86" s="6"/>
      <c r="G86" s="6"/>
      <c r="H86" s="15"/>
      <c r="I86" s="6"/>
    </row>
    <row r="87" spans="1:9" x14ac:dyDescent="0.3">
      <c r="A87" s="6"/>
      <c r="B87" s="7"/>
      <c r="C87" s="6"/>
      <c r="D87" s="6"/>
      <c r="E87" s="14"/>
      <c r="F87" s="6"/>
      <c r="G87" s="6"/>
      <c r="H87" s="15"/>
      <c r="I87" s="6"/>
    </row>
    <row r="88" spans="1:9" x14ac:dyDescent="0.3">
      <c r="A88" s="6"/>
      <c r="B88" s="7"/>
      <c r="C88" s="6"/>
      <c r="D88" s="6"/>
      <c r="E88" s="14"/>
      <c r="F88" s="6"/>
      <c r="G88" s="6"/>
      <c r="H88" s="15"/>
      <c r="I88" s="6"/>
    </row>
    <row r="89" spans="1:9" x14ac:dyDescent="0.3">
      <c r="A89" s="6"/>
      <c r="B89" s="7"/>
      <c r="C89" s="6"/>
      <c r="D89" s="6"/>
      <c r="E89" s="14"/>
      <c r="F89" s="6"/>
      <c r="G89" s="6"/>
      <c r="H89" s="15"/>
      <c r="I89" s="6"/>
    </row>
    <row r="90" spans="1:9" x14ac:dyDescent="0.3">
      <c r="A90" s="6"/>
      <c r="B90" s="7"/>
      <c r="C90" s="6"/>
      <c r="D90" s="6"/>
      <c r="E90" s="14"/>
      <c r="F90" s="6"/>
      <c r="G90" s="6"/>
      <c r="H90" s="15"/>
      <c r="I90" s="6"/>
    </row>
    <row r="91" spans="1:9" x14ac:dyDescent="0.3">
      <c r="A91" s="6"/>
      <c r="B91" s="7"/>
      <c r="C91" s="6"/>
      <c r="D91" s="6"/>
      <c r="E91" s="14"/>
      <c r="F91" s="6"/>
      <c r="G91" s="6"/>
      <c r="H91" s="15"/>
      <c r="I91" s="6"/>
    </row>
    <row r="92" spans="1:9" x14ac:dyDescent="0.3">
      <c r="A92" s="6"/>
      <c r="B92" s="7"/>
      <c r="C92" s="6"/>
      <c r="D92" s="6"/>
      <c r="E92" s="14"/>
      <c r="F92" s="6"/>
      <c r="G92" s="6"/>
      <c r="H92" s="15"/>
      <c r="I92" s="6"/>
    </row>
    <row r="93" spans="1:9" x14ac:dyDescent="0.3">
      <c r="A93" s="6"/>
      <c r="B93" s="7"/>
      <c r="C93" s="6"/>
      <c r="D93" s="6"/>
      <c r="E93" s="14"/>
      <c r="F93" s="6"/>
      <c r="G93" s="6"/>
      <c r="H93" s="15"/>
      <c r="I93" s="6"/>
    </row>
    <row r="94" spans="1:9" x14ac:dyDescent="0.3">
      <c r="A94" s="6"/>
      <c r="B94" s="7"/>
      <c r="C94" s="6"/>
      <c r="D94" s="6"/>
      <c r="E94" s="14"/>
      <c r="F94" s="6"/>
      <c r="G94" s="6"/>
      <c r="H94" s="15"/>
      <c r="I94" s="6"/>
    </row>
    <row r="95" spans="1:9" x14ac:dyDescent="0.3">
      <c r="A95" s="6"/>
      <c r="B95" s="7"/>
      <c r="C95" s="6"/>
      <c r="D95" s="6"/>
      <c r="E95" s="14"/>
      <c r="F95" s="6"/>
      <c r="G95" s="6"/>
      <c r="H95" s="15"/>
      <c r="I95" s="6"/>
    </row>
    <row r="96" spans="1:9" x14ac:dyDescent="0.3">
      <c r="A96" s="6"/>
      <c r="B96" s="7"/>
      <c r="C96" s="6"/>
      <c r="D96" s="6"/>
      <c r="E96" s="14"/>
      <c r="F96" s="6"/>
      <c r="G96" s="6"/>
      <c r="H96" s="15"/>
      <c r="I96" s="6"/>
    </row>
    <row r="97" spans="1:9" x14ac:dyDescent="0.3">
      <c r="A97" s="6"/>
      <c r="B97" s="7"/>
      <c r="C97" s="6"/>
      <c r="D97" s="6"/>
      <c r="E97" s="14"/>
      <c r="F97" s="6"/>
      <c r="G97" s="6"/>
      <c r="H97" s="15"/>
      <c r="I97" s="6"/>
    </row>
    <row r="98" spans="1:9" x14ac:dyDescent="0.3">
      <c r="A98" s="6"/>
      <c r="B98" s="7"/>
      <c r="C98" s="6"/>
      <c r="D98" s="6"/>
      <c r="E98" s="14"/>
      <c r="F98" s="6"/>
      <c r="G98" s="6"/>
      <c r="H98" s="15"/>
      <c r="I98" s="6"/>
    </row>
    <row r="99" spans="1:9" x14ac:dyDescent="0.3">
      <c r="A99" s="6"/>
      <c r="B99" s="7"/>
      <c r="C99" s="6"/>
      <c r="D99" s="6"/>
      <c r="E99" s="14"/>
      <c r="F99" s="6"/>
      <c r="G99" s="6"/>
      <c r="H99" s="15"/>
      <c r="I99" s="6"/>
    </row>
    <row r="100" spans="1:9" x14ac:dyDescent="0.3">
      <c r="A100" s="6"/>
      <c r="B100" s="7"/>
      <c r="C100" s="6"/>
      <c r="D100" s="6"/>
      <c r="E100" s="14"/>
      <c r="F100" s="6"/>
      <c r="G100" s="6"/>
      <c r="H100" s="15"/>
      <c r="I100" s="6"/>
    </row>
    <row r="101" spans="1:9" x14ac:dyDescent="0.3">
      <c r="A101" s="6"/>
      <c r="B101" s="7"/>
      <c r="C101" s="6"/>
      <c r="D101" s="6"/>
      <c r="E101" s="14"/>
      <c r="F101" s="6"/>
      <c r="G101" s="6"/>
      <c r="H101" s="15"/>
      <c r="I101" s="6"/>
    </row>
    <row r="102" spans="1:9" x14ac:dyDescent="0.3">
      <c r="A102" s="6"/>
      <c r="B102" s="7"/>
      <c r="C102" s="6"/>
      <c r="D102" s="6"/>
      <c r="E102" s="14"/>
      <c r="F102" s="6"/>
      <c r="G102" s="6"/>
      <c r="H102" s="15"/>
      <c r="I102" s="6"/>
    </row>
    <row r="103" spans="1:9" x14ac:dyDescent="0.3">
      <c r="A103" s="6"/>
      <c r="B103" s="7"/>
      <c r="C103" s="6"/>
      <c r="D103" s="6"/>
      <c r="E103" s="14"/>
      <c r="F103" s="6"/>
      <c r="G103" s="6"/>
      <c r="H103" s="15"/>
      <c r="I103" s="6"/>
    </row>
    <row r="104" spans="1:9" x14ac:dyDescent="0.3">
      <c r="A104" s="6"/>
      <c r="B104" s="7"/>
      <c r="C104" s="6"/>
      <c r="D104" s="6"/>
      <c r="E104" s="14"/>
      <c r="F104" s="6"/>
      <c r="G104" s="6"/>
      <c r="H104" s="15"/>
      <c r="I104" s="6"/>
    </row>
    <row r="105" spans="1:9" x14ac:dyDescent="0.3">
      <c r="A105" s="6"/>
      <c r="B105" s="7"/>
      <c r="C105" s="6"/>
      <c r="D105" s="6"/>
      <c r="E105" s="14"/>
      <c r="F105" s="6"/>
      <c r="G105" s="6"/>
      <c r="H105" s="15"/>
      <c r="I105" s="6"/>
    </row>
    <row r="106" spans="1:9" x14ac:dyDescent="0.3">
      <c r="A106" s="6"/>
      <c r="B106" s="7"/>
      <c r="C106" s="6"/>
      <c r="D106" s="6"/>
      <c r="E106" s="14"/>
      <c r="F106" s="6"/>
      <c r="G106" s="6"/>
      <c r="H106" s="15"/>
      <c r="I106" s="6"/>
    </row>
    <row r="107" spans="1:9" x14ac:dyDescent="0.3">
      <c r="A107" s="6"/>
      <c r="B107" s="7"/>
      <c r="C107" s="6"/>
      <c r="D107" s="6"/>
      <c r="E107" s="14"/>
      <c r="F107" s="6"/>
      <c r="G107" s="6"/>
      <c r="H107" s="15"/>
      <c r="I107" s="6"/>
    </row>
    <row r="108" spans="1:9" x14ac:dyDescent="0.3">
      <c r="A108" s="6"/>
      <c r="B108" s="7"/>
      <c r="C108" s="6"/>
      <c r="D108" s="6"/>
      <c r="E108" s="14"/>
      <c r="F108" s="6"/>
      <c r="G108" s="6"/>
      <c r="H108" s="15"/>
      <c r="I108" s="6"/>
    </row>
    <row r="109" spans="1:9" x14ac:dyDescent="0.3">
      <c r="A109" s="6"/>
      <c r="B109" s="7"/>
      <c r="C109" s="6"/>
      <c r="D109" s="6"/>
      <c r="E109" s="14"/>
      <c r="F109" s="6"/>
      <c r="G109" s="6"/>
      <c r="H109" s="15"/>
      <c r="I109" s="6"/>
    </row>
    <row r="110" spans="1:9" x14ac:dyDescent="0.3">
      <c r="A110" s="6"/>
      <c r="B110" s="7"/>
      <c r="C110" s="6"/>
      <c r="D110" s="6"/>
      <c r="E110" s="14"/>
      <c r="F110" s="6"/>
      <c r="G110" s="6"/>
      <c r="H110" s="15"/>
      <c r="I110" s="6"/>
    </row>
    <row r="111" spans="1:9" x14ac:dyDescent="0.3">
      <c r="A111" s="6"/>
      <c r="B111" s="7"/>
      <c r="C111" s="6"/>
      <c r="D111" s="6"/>
      <c r="E111" s="14"/>
      <c r="F111" s="6"/>
      <c r="G111" s="6"/>
      <c r="H111" s="15"/>
      <c r="I111" s="6"/>
    </row>
    <row r="112" spans="1:9" x14ac:dyDescent="0.3">
      <c r="A112" s="6"/>
      <c r="B112" s="7"/>
      <c r="C112" s="6"/>
      <c r="D112" s="6"/>
      <c r="E112" s="14"/>
      <c r="F112" s="6"/>
      <c r="G112" s="6"/>
      <c r="H112" s="15"/>
      <c r="I112" s="6"/>
    </row>
    <row r="113" spans="1:9" x14ac:dyDescent="0.3">
      <c r="A113" s="6"/>
      <c r="B113" s="7"/>
      <c r="C113" s="6"/>
      <c r="D113" s="6"/>
      <c r="E113" s="14"/>
      <c r="F113" s="6"/>
      <c r="G113" s="6"/>
      <c r="H113" s="15"/>
      <c r="I113" s="6"/>
    </row>
    <row r="114" spans="1:9" x14ac:dyDescent="0.3">
      <c r="A114" s="6"/>
      <c r="B114" s="7"/>
      <c r="C114" s="6"/>
      <c r="D114" s="6"/>
      <c r="E114" s="14"/>
      <c r="F114" s="6"/>
      <c r="G114" s="6"/>
      <c r="H114" s="15"/>
      <c r="I114" s="6"/>
    </row>
    <row r="115" spans="1:9" x14ac:dyDescent="0.3">
      <c r="A115" s="6"/>
      <c r="B115" s="7"/>
      <c r="C115" s="6"/>
      <c r="D115" s="6"/>
      <c r="E115" s="14"/>
      <c r="F115" s="6"/>
      <c r="G115" s="6"/>
      <c r="H115" s="15"/>
      <c r="I115" s="6"/>
    </row>
    <row r="116" spans="1:9" x14ac:dyDescent="0.3">
      <c r="A116" s="6"/>
      <c r="B116" s="7"/>
      <c r="C116" s="6"/>
      <c r="D116" s="6"/>
      <c r="E116" s="14"/>
      <c r="F116" s="6"/>
      <c r="G116" s="6"/>
      <c r="H116" s="15"/>
      <c r="I116" s="6"/>
    </row>
    <row r="117" spans="1:9" x14ac:dyDescent="0.3">
      <c r="A117" s="6"/>
      <c r="B117" s="7"/>
      <c r="C117" s="6"/>
      <c r="D117" s="6"/>
      <c r="E117" s="14"/>
      <c r="F117" s="6"/>
      <c r="G117" s="6"/>
      <c r="H117" s="15"/>
      <c r="I117" s="6"/>
    </row>
    <row r="118" spans="1:9" x14ac:dyDescent="0.3">
      <c r="A118" s="6"/>
      <c r="B118" s="7"/>
      <c r="C118" s="6"/>
      <c r="D118" s="6"/>
      <c r="E118" s="14"/>
      <c r="F118" s="6"/>
      <c r="G118" s="6"/>
      <c r="H118" s="15"/>
      <c r="I118" s="6"/>
    </row>
    <row r="119" spans="1:9" x14ac:dyDescent="0.3">
      <c r="A119" s="6"/>
      <c r="B119" s="7"/>
      <c r="C119" s="6"/>
      <c r="D119" s="6"/>
      <c r="E119" s="14"/>
      <c r="F119" s="6"/>
      <c r="G119" s="6"/>
      <c r="H119" s="15"/>
      <c r="I119" s="6"/>
    </row>
    <row r="120" spans="1:9" x14ac:dyDescent="0.3">
      <c r="A120" s="6"/>
      <c r="B120" s="7"/>
      <c r="C120" s="6"/>
      <c r="D120" s="6"/>
      <c r="E120" s="14"/>
      <c r="F120" s="6"/>
      <c r="G120" s="6"/>
      <c r="H120" s="15"/>
      <c r="I120" s="6"/>
    </row>
    <row r="121" spans="1:9" x14ac:dyDescent="0.3">
      <c r="A121" s="6"/>
      <c r="B121" s="7"/>
      <c r="C121" s="6"/>
      <c r="D121" s="6"/>
      <c r="E121" s="14"/>
      <c r="F121" s="6"/>
      <c r="G121" s="6"/>
      <c r="H121" s="15"/>
      <c r="I121" s="6"/>
    </row>
    <row r="122" spans="1:9" x14ac:dyDescent="0.3">
      <c r="A122" s="6"/>
      <c r="B122" s="7"/>
      <c r="C122" s="6"/>
      <c r="D122" s="6"/>
      <c r="E122" s="14"/>
      <c r="F122" s="6"/>
      <c r="G122" s="6"/>
      <c r="H122" s="15"/>
      <c r="I122" s="6"/>
    </row>
    <row r="123" spans="1:9" x14ac:dyDescent="0.3">
      <c r="A123" s="6"/>
      <c r="B123" s="7"/>
      <c r="C123" s="6"/>
      <c r="D123" s="6"/>
      <c r="E123" s="14"/>
      <c r="F123" s="6"/>
      <c r="G123" s="6"/>
      <c r="H123" s="15"/>
      <c r="I123" s="6"/>
    </row>
    <row r="124" spans="1:9" x14ac:dyDescent="0.3">
      <c r="A124" s="6"/>
      <c r="B124" s="7"/>
      <c r="C124" s="6"/>
      <c r="D124" s="6"/>
      <c r="E124" s="14"/>
      <c r="F124" s="6"/>
      <c r="G124" s="6"/>
      <c r="H124" s="15"/>
      <c r="I124" s="6"/>
    </row>
    <row r="125" spans="1:9" x14ac:dyDescent="0.3">
      <c r="A125" s="6"/>
      <c r="B125" s="7"/>
      <c r="C125" s="6"/>
      <c r="D125" s="6"/>
      <c r="E125" s="14"/>
      <c r="F125" s="6"/>
      <c r="G125" s="6"/>
      <c r="H125" s="15"/>
      <c r="I125" s="6"/>
    </row>
    <row r="126" spans="1:9" x14ac:dyDescent="0.3">
      <c r="A126" s="6"/>
      <c r="B126" s="7"/>
      <c r="C126" s="6"/>
      <c r="D126" s="6"/>
      <c r="E126" s="14"/>
      <c r="F126" s="6"/>
      <c r="G126" s="6"/>
      <c r="H126" s="15"/>
      <c r="I126" s="6"/>
    </row>
    <row r="127" spans="1:9" x14ac:dyDescent="0.3">
      <c r="A127" s="6"/>
      <c r="B127" s="7"/>
      <c r="C127" s="6"/>
      <c r="D127" s="6"/>
      <c r="E127" s="14"/>
      <c r="F127" s="6"/>
      <c r="G127" s="6"/>
      <c r="H127" s="15"/>
      <c r="I127" s="6"/>
    </row>
    <row r="128" spans="1:9" x14ac:dyDescent="0.3">
      <c r="A128" s="6"/>
      <c r="B128" s="7"/>
      <c r="C128" s="6"/>
      <c r="D128" s="6"/>
      <c r="E128" s="14"/>
      <c r="F128" s="6"/>
      <c r="G128" s="6"/>
      <c r="H128" s="15"/>
      <c r="I128" s="6"/>
    </row>
    <row r="129" spans="1:9" x14ac:dyDescent="0.3">
      <c r="A129" s="6"/>
      <c r="B129" s="7"/>
      <c r="C129" s="6"/>
      <c r="D129" s="6"/>
      <c r="E129" s="14"/>
      <c r="F129" s="6"/>
      <c r="G129" s="6"/>
      <c r="H129" s="15"/>
      <c r="I129" s="6"/>
    </row>
    <row r="130" spans="1:9" x14ac:dyDescent="0.3">
      <c r="A130" s="6"/>
      <c r="B130" s="7"/>
      <c r="C130" s="6"/>
      <c r="D130" s="6"/>
      <c r="E130" s="14"/>
      <c r="F130" s="6"/>
      <c r="G130" s="6"/>
      <c r="H130" s="15"/>
      <c r="I130" s="6"/>
    </row>
    <row r="131" spans="1:9" x14ac:dyDescent="0.3">
      <c r="A131" s="6"/>
      <c r="B131" s="7"/>
      <c r="C131" s="6"/>
      <c r="D131" s="6"/>
      <c r="E131" s="14"/>
      <c r="F131" s="6"/>
      <c r="G131" s="6"/>
      <c r="H131" s="15"/>
      <c r="I131" s="6"/>
    </row>
    <row r="132" spans="1:9" x14ac:dyDescent="0.3">
      <c r="A132" s="6"/>
      <c r="B132" s="7"/>
      <c r="C132" s="6"/>
      <c r="D132" s="6"/>
      <c r="E132" s="14"/>
      <c r="F132" s="6"/>
      <c r="G132" s="6"/>
      <c r="H132" s="15"/>
      <c r="I132" s="6"/>
    </row>
    <row r="133" spans="1:9" x14ac:dyDescent="0.3">
      <c r="A133" s="6"/>
      <c r="B133" s="7"/>
      <c r="C133" s="6"/>
      <c r="D133" s="6"/>
      <c r="E133" s="14"/>
      <c r="F133" s="6"/>
      <c r="G133" s="6"/>
      <c r="H133" s="15"/>
      <c r="I133" s="6"/>
    </row>
    <row r="134" spans="1:9" x14ac:dyDescent="0.3">
      <c r="A134" s="6"/>
      <c r="B134" s="7"/>
      <c r="C134" s="6"/>
      <c r="D134" s="6"/>
      <c r="E134" s="14"/>
      <c r="F134" s="6"/>
      <c r="G134" s="6"/>
      <c r="H134" s="15"/>
      <c r="I134" s="6"/>
    </row>
    <row r="135" spans="1:9" x14ac:dyDescent="0.3">
      <c r="A135" s="6"/>
      <c r="B135" s="7"/>
      <c r="C135" s="6"/>
      <c r="D135" s="6"/>
      <c r="E135" s="14"/>
      <c r="F135" s="6"/>
      <c r="G135" s="6"/>
      <c r="H135" s="15"/>
      <c r="I135" s="6"/>
    </row>
    <row r="136" spans="1:9" x14ac:dyDescent="0.3">
      <c r="A136" s="6"/>
      <c r="B136" s="7"/>
      <c r="C136" s="6"/>
      <c r="D136" s="6"/>
      <c r="E136" s="14"/>
      <c r="F136" s="6"/>
      <c r="G136" s="6"/>
      <c r="H136" s="15"/>
      <c r="I136" s="6"/>
    </row>
    <row r="137" spans="1:9" x14ac:dyDescent="0.3">
      <c r="A137" s="6"/>
      <c r="B137" s="7"/>
      <c r="C137" s="6"/>
      <c r="D137" s="6"/>
      <c r="E137" s="14"/>
      <c r="F137" s="6"/>
      <c r="G137" s="6"/>
      <c r="H137" s="15"/>
      <c r="I137" s="6"/>
    </row>
    <row r="138" spans="1:9" x14ac:dyDescent="0.3">
      <c r="A138" s="6"/>
      <c r="B138" s="7"/>
      <c r="C138" s="6"/>
      <c r="D138" s="6"/>
      <c r="E138" s="14"/>
      <c r="F138" s="6"/>
      <c r="G138" s="6"/>
      <c r="H138" s="15"/>
      <c r="I138" s="6"/>
    </row>
    <row r="139" spans="1:9" x14ac:dyDescent="0.3">
      <c r="A139" s="6"/>
      <c r="B139" s="7"/>
      <c r="C139" s="6"/>
      <c r="D139" s="6"/>
      <c r="E139" s="14"/>
      <c r="F139" s="6"/>
      <c r="G139" s="6"/>
      <c r="H139" s="15"/>
      <c r="I139" s="6"/>
    </row>
    <row r="140" spans="1:9" x14ac:dyDescent="0.3">
      <c r="A140" s="6"/>
      <c r="B140" s="7"/>
      <c r="C140" s="6"/>
      <c r="D140" s="6"/>
      <c r="E140" s="14"/>
      <c r="F140" s="6"/>
      <c r="G140" s="6"/>
      <c r="H140" s="15"/>
      <c r="I140" s="6"/>
    </row>
    <row r="141" spans="1:9" x14ac:dyDescent="0.3">
      <c r="A141" s="6"/>
      <c r="B141" s="7"/>
      <c r="C141" s="6"/>
      <c r="D141" s="6"/>
      <c r="E141" s="14"/>
      <c r="F141" s="6"/>
      <c r="G141" s="6"/>
      <c r="H141" s="15"/>
      <c r="I141" s="6"/>
    </row>
    <row r="142" spans="1:9" x14ac:dyDescent="0.3">
      <c r="A142" s="6"/>
      <c r="B142" s="7"/>
      <c r="C142" s="6"/>
      <c r="D142" s="6"/>
      <c r="E142" s="14"/>
      <c r="F142" s="6"/>
      <c r="G142" s="6"/>
      <c r="H142" s="15"/>
      <c r="I142" s="6"/>
    </row>
    <row r="143" spans="1:9" x14ac:dyDescent="0.3">
      <c r="A143" s="6"/>
      <c r="B143" s="7"/>
      <c r="C143" s="6"/>
      <c r="D143" s="6"/>
      <c r="E143" s="14"/>
      <c r="F143" s="6"/>
      <c r="G143" s="6"/>
      <c r="H143" s="15"/>
      <c r="I143" s="6"/>
    </row>
    <row r="144" spans="1:9" x14ac:dyDescent="0.3">
      <c r="A144" s="6"/>
      <c r="B144" s="7"/>
      <c r="C144" s="6"/>
      <c r="D144" s="6"/>
      <c r="E144" s="14"/>
      <c r="F144" s="6"/>
      <c r="G144" s="6"/>
      <c r="H144" s="15"/>
      <c r="I144" s="6"/>
    </row>
    <row r="145" spans="1:9" x14ac:dyDescent="0.3">
      <c r="A145" s="6"/>
      <c r="B145" s="7"/>
      <c r="C145" s="6"/>
      <c r="D145" s="6"/>
      <c r="E145" s="14"/>
      <c r="F145" s="6"/>
      <c r="G145" s="6"/>
      <c r="H145" s="15"/>
      <c r="I145" s="6"/>
    </row>
    <row r="146" spans="1:9" x14ac:dyDescent="0.3">
      <c r="A146" s="6"/>
      <c r="B146" s="7"/>
      <c r="C146" s="6"/>
      <c r="D146" s="6"/>
      <c r="E146" s="14"/>
      <c r="F146" s="6"/>
      <c r="G146" s="6"/>
      <c r="H146" s="15"/>
      <c r="I146" s="6"/>
    </row>
    <row r="147" spans="1:9" x14ac:dyDescent="0.3">
      <c r="A147" s="6"/>
      <c r="B147" s="7"/>
      <c r="C147" s="6"/>
      <c r="D147" s="6"/>
      <c r="E147" s="14"/>
      <c r="F147" s="6"/>
      <c r="G147" s="6"/>
      <c r="H147" s="15"/>
      <c r="I147" s="6"/>
    </row>
    <row r="148" spans="1:9" x14ac:dyDescent="0.3">
      <c r="A148" s="6"/>
      <c r="B148" s="7"/>
      <c r="C148" s="6"/>
      <c r="D148" s="6"/>
      <c r="E148" s="14"/>
      <c r="F148" s="6"/>
      <c r="G148" s="6"/>
      <c r="H148" s="15"/>
      <c r="I148" s="6"/>
    </row>
    <row r="149" spans="1:9" x14ac:dyDescent="0.3">
      <c r="A149" s="6"/>
      <c r="B149" s="7"/>
      <c r="C149" s="6"/>
      <c r="D149" s="6"/>
      <c r="E149" s="14"/>
      <c r="F149" s="6"/>
      <c r="G149" s="6"/>
      <c r="H149" s="15"/>
      <c r="I149" s="6"/>
    </row>
    <row r="150" spans="1:9" x14ac:dyDescent="0.3">
      <c r="A150" s="6"/>
      <c r="B150" s="7"/>
      <c r="C150" s="6"/>
      <c r="D150" s="6"/>
      <c r="E150" s="14"/>
      <c r="F150" s="6"/>
      <c r="G150" s="6"/>
      <c r="H150" s="15"/>
      <c r="I150" s="6"/>
    </row>
    <row r="151" spans="1:9" x14ac:dyDescent="0.3">
      <c r="A151" s="6"/>
      <c r="B151" s="7"/>
      <c r="C151" s="6"/>
      <c r="D151" s="6"/>
      <c r="E151" s="14"/>
      <c r="F151" s="6"/>
      <c r="G151" s="6"/>
      <c r="H151" s="15"/>
      <c r="I151" s="6"/>
    </row>
    <row r="152" spans="1:9" x14ac:dyDescent="0.3">
      <c r="A152" s="6"/>
      <c r="B152" s="7"/>
      <c r="C152" s="6"/>
      <c r="D152" s="6"/>
      <c r="E152" s="14"/>
      <c r="F152" s="6"/>
      <c r="G152" s="6"/>
      <c r="H152" s="15"/>
      <c r="I152" s="6"/>
    </row>
    <row r="153" spans="1:9" x14ac:dyDescent="0.3">
      <c r="A153" s="6"/>
      <c r="B153" s="7"/>
      <c r="C153" s="6"/>
      <c r="D153" s="6"/>
      <c r="E153" s="14"/>
      <c r="F153" s="6"/>
      <c r="G153" s="6"/>
      <c r="H153" s="15"/>
      <c r="I153" s="6"/>
    </row>
    <row r="154" spans="1:9" x14ac:dyDescent="0.3">
      <c r="A154" s="6"/>
      <c r="B154" s="7"/>
      <c r="C154" s="6"/>
      <c r="D154" s="6"/>
      <c r="E154" s="14"/>
      <c r="F154" s="6"/>
      <c r="G154" s="6"/>
      <c r="H154" s="15"/>
      <c r="I154" s="6"/>
    </row>
    <row r="155" spans="1:9" x14ac:dyDescent="0.3">
      <c r="A155" s="6"/>
      <c r="B155" s="7"/>
      <c r="C155" s="6"/>
      <c r="D155" s="6"/>
      <c r="E155" s="14"/>
      <c r="F155" s="6"/>
      <c r="G155" s="6"/>
      <c r="H155" s="15"/>
      <c r="I155" s="6"/>
    </row>
    <row r="156" spans="1:9" x14ac:dyDescent="0.3">
      <c r="A156" s="6"/>
      <c r="B156" s="7"/>
      <c r="C156" s="6"/>
      <c r="D156" s="6"/>
      <c r="E156" s="14"/>
      <c r="F156" s="6"/>
      <c r="G156" s="6"/>
      <c r="H156" s="15"/>
      <c r="I156" s="6"/>
    </row>
    <row r="157" spans="1:9" x14ac:dyDescent="0.3">
      <c r="A157" s="6"/>
      <c r="B157" s="7"/>
      <c r="C157" s="6"/>
      <c r="D157" s="6"/>
      <c r="E157" s="14"/>
      <c r="F157" s="6"/>
      <c r="G157" s="6"/>
      <c r="H157" s="15"/>
      <c r="I157" s="6"/>
    </row>
    <row r="158" spans="1:9" x14ac:dyDescent="0.3">
      <c r="A158" s="6"/>
      <c r="B158" s="7"/>
      <c r="C158" s="6"/>
      <c r="D158" s="6"/>
      <c r="E158" s="14"/>
      <c r="F158" s="6"/>
      <c r="G158" s="6"/>
      <c r="H158" s="15"/>
      <c r="I158" s="6"/>
    </row>
    <row r="159" spans="1:9" x14ac:dyDescent="0.3">
      <c r="A159" s="6"/>
      <c r="B159" s="7"/>
      <c r="C159" s="6"/>
      <c r="D159" s="6"/>
      <c r="E159" s="14"/>
      <c r="F159" s="6"/>
      <c r="G159" s="6"/>
      <c r="H159" s="15"/>
      <c r="I159" s="6"/>
    </row>
    <row r="160" spans="1:9" x14ac:dyDescent="0.3">
      <c r="A160" s="6"/>
      <c r="B160" s="7"/>
      <c r="C160" s="6"/>
      <c r="D160" s="6"/>
      <c r="E160" s="14"/>
      <c r="F160" s="6"/>
      <c r="G160" s="6"/>
      <c r="H160" s="15"/>
      <c r="I160" s="6"/>
    </row>
    <row r="161" spans="1:9" x14ac:dyDescent="0.3">
      <c r="A161" s="6"/>
      <c r="B161" s="7"/>
      <c r="C161" s="6"/>
      <c r="D161" s="6"/>
      <c r="E161" s="14"/>
      <c r="F161" s="6"/>
      <c r="G161" s="6"/>
      <c r="H161" s="15"/>
      <c r="I161" s="6"/>
    </row>
    <row r="162" spans="1:9" x14ac:dyDescent="0.3">
      <c r="A162" s="6"/>
      <c r="B162" s="7"/>
      <c r="C162" s="6"/>
      <c r="D162" s="6"/>
      <c r="E162" s="14"/>
      <c r="F162" s="6"/>
      <c r="G162" s="6"/>
      <c r="H162" s="15"/>
      <c r="I162" s="6"/>
    </row>
    <row r="163" spans="1:9" x14ac:dyDescent="0.3">
      <c r="A163" s="6"/>
      <c r="B163" s="7"/>
      <c r="C163" s="6"/>
      <c r="D163" s="6"/>
      <c r="E163" s="14"/>
      <c r="F163" s="6"/>
      <c r="G163" s="6"/>
      <c r="H163" s="15"/>
      <c r="I163" s="6"/>
    </row>
    <row r="164" spans="1:9" x14ac:dyDescent="0.3">
      <c r="A164" s="6"/>
      <c r="B164" s="7"/>
      <c r="C164" s="6"/>
      <c r="D164" s="6"/>
      <c r="E164" s="14"/>
      <c r="F164" s="6"/>
      <c r="G164" s="6"/>
      <c r="H164" s="15"/>
      <c r="I164" s="6"/>
    </row>
    <row r="165" spans="1:9" x14ac:dyDescent="0.3">
      <c r="A165" s="6"/>
      <c r="B165" s="7"/>
      <c r="C165" s="6"/>
      <c r="D165" s="6"/>
      <c r="E165" s="14"/>
      <c r="F165" s="6"/>
      <c r="G165" s="6"/>
      <c r="H165" s="15"/>
      <c r="I165" s="6"/>
    </row>
    <row r="166" spans="1:9" x14ac:dyDescent="0.3">
      <c r="A166" s="6"/>
      <c r="B166" s="7"/>
      <c r="C166" s="6"/>
      <c r="D166" s="6"/>
      <c r="E166" s="14"/>
      <c r="F166" s="6"/>
      <c r="G166" s="6"/>
      <c r="H166" s="15"/>
      <c r="I166" s="6"/>
    </row>
    <row r="167" spans="1:9" x14ac:dyDescent="0.3">
      <c r="A167" s="6"/>
      <c r="B167" s="7"/>
      <c r="C167" s="6"/>
      <c r="D167" s="6"/>
      <c r="E167" s="14"/>
      <c r="F167" s="6"/>
      <c r="G167" s="6"/>
      <c r="H167" s="15"/>
      <c r="I167" s="6"/>
    </row>
    <row r="168" spans="1:9" x14ac:dyDescent="0.3">
      <c r="A168" s="6"/>
      <c r="B168" s="7"/>
      <c r="C168" s="6"/>
      <c r="D168" s="6"/>
      <c r="E168" s="14"/>
      <c r="F168" s="6"/>
      <c r="G168" s="6"/>
      <c r="H168" s="15"/>
      <c r="I168" s="6"/>
    </row>
    <row r="169" spans="1:9" x14ac:dyDescent="0.3">
      <c r="A169" s="6"/>
      <c r="B169" s="7"/>
      <c r="C169" s="6"/>
      <c r="D169" s="6"/>
      <c r="E169" s="14"/>
      <c r="F169" s="6"/>
      <c r="G169" s="6"/>
      <c r="H169" s="15"/>
      <c r="I169" s="6"/>
    </row>
    <row r="170" spans="1:9" x14ac:dyDescent="0.3">
      <c r="A170" s="6"/>
      <c r="B170" s="7"/>
      <c r="C170" s="6"/>
      <c r="D170" s="6"/>
      <c r="E170" s="14"/>
      <c r="F170" s="6"/>
      <c r="G170" s="6"/>
      <c r="H170" s="15"/>
      <c r="I170" s="6"/>
    </row>
    <row r="171" spans="1:9" x14ac:dyDescent="0.3">
      <c r="A171" s="6"/>
      <c r="B171" s="7"/>
      <c r="C171" s="6"/>
      <c r="D171" s="6"/>
      <c r="E171" s="14"/>
      <c r="F171" s="6"/>
      <c r="G171" s="6"/>
      <c r="H171" s="15"/>
      <c r="I171" s="6"/>
    </row>
    <row r="172" spans="1:9" x14ac:dyDescent="0.3">
      <c r="A172" s="6"/>
      <c r="B172" s="7"/>
      <c r="C172" s="6"/>
      <c r="D172" s="6"/>
      <c r="E172" s="14"/>
      <c r="F172" s="6"/>
      <c r="G172" s="6"/>
      <c r="H172" s="15"/>
      <c r="I172" s="6"/>
    </row>
    <row r="173" spans="1:9" x14ac:dyDescent="0.3">
      <c r="A173" s="6"/>
      <c r="B173" s="7"/>
      <c r="C173" s="6"/>
      <c r="D173" s="6"/>
      <c r="E173" s="14"/>
      <c r="F173" s="6"/>
      <c r="G173" s="6"/>
      <c r="H173" s="15"/>
      <c r="I173" s="6"/>
    </row>
    <row r="174" spans="1:9" x14ac:dyDescent="0.3">
      <c r="A174" s="6"/>
      <c r="B174" s="7"/>
      <c r="C174" s="6"/>
      <c r="D174" s="6"/>
      <c r="E174" s="14"/>
      <c r="F174" s="6"/>
      <c r="G174" s="6"/>
      <c r="H174" s="15"/>
      <c r="I174" s="6"/>
    </row>
    <row r="175" spans="1:9" x14ac:dyDescent="0.3">
      <c r="A175" s="6"/>
      <c r="B175" s="7"/>
      <c r="C175" s="6"/>
      <c r="D175" s="6"/>
      <c r="E175" s="14"/>
      <c r="F175" s="6"/>
      <c r="G175" s="6"/>
      <c r="H175" s="15"/>
      <c r="I175" s="6"/>
    </row>
    <row r="176" spans="1:9" x14ac:dyDescent="0.3">
      <c r="A176" s="6"/>
      <c r="B176" s="7"/>
      <c r="C176" s="6"/>
      <c r="D176" s="6"/>
      <c r="E176" s="14"/>
      <c r="F176" s="6"/>
      <c r="G176" s="6"/>
      <c r="H176" s="15"/>
      <c r="I176" s="6"/>
    </row>
    <row r="177" spans="1:9" x14ac:dyDescent="0.3">
      <c r="A177" s="6"/>
      <c r="B177" s="7"/>
      <c r="C177" s="6"/>
      <c r="D177" s="6"/>
      <c r="E177" s="14"/>
      <c r="F177" s="6"/>
      <c r="G177" s="6"/>
      <c r="H177" s="15"/>
      <c r="I177" s="6"/>
    </row>
    <row r="178" spans="1:9" x14ac:dyDescent="0.3">
      <c r="A178" s="6"/>
      <c r="B178" s="7"/>
      <c r="C178" s="6"/>
      <c r="D178" s="6"/>
      <c r="E178" s="14"/>
      <c r="F178" s="6"/>
      <c r="G178" s="6"/>
      <c r="H178" s="15"/>
      <c r="I178" s="6"/>
    </row>
    <row r="179" spans="1:9" x14ac:dyDescent="0.3">
      <c r="A179" s="6"/>
      <c r="B179" s="7"/>
      <c r="C179" s="6"/>
      <c r="D179" s="6"/>
      <c r="E179" s="14"/>
      <c r="F179" s="6"/>
      <c r="G179" s="6"/>
      <c r="H179" s="15"/>
      <c r="I179" s="6"/>
    </row>
    <row r="180" spans="1:9" x14ac:dyDescent="0.3">
      <c r="A180" s="6"/>
      <c r="B180" s="7"/>
      <c r="C180" s="6"/>
      <c r="D180" s="6"/>
      <c r="E180" s="14"/>
      <c r="F180" s="6"/>
      <c r="G180" s="6"/>
      <c r="H180" s="15"/>
      <c r="I180" s="6"/>
    </row>
    <row r="181" spans="1:9" x14ac:dyDescent="0.3">
      <c r="A181" s="6"/>
      <c r="B181" s="7"/>
      <c r="C181" s="6"/>
      <c r="D181" s="6"/>
      <c r="E181" s="14"/>
      <c r="F181" s="6"/>
      <c r="G181" s="6"/>
      <c r="H181" s="15"/>
      <c r="I181" s="6"/>
    </row>
    <row r="182" spans="1:9" x14ac:dyDescent="0.3">
      <c r="A182" s="6"/>
      <c r="B182" s="7"/>
      <c r="C182" s="6"/>
      <c r="D182" s="6"/>
      <c r="E182" s="14"/>
      <c r="F182" s="6"/>
      <c r="G182" s="6"/>
      <c r="H182" s="15"/>
      <c r="I182" s="6"/>
    </row>
    <row r="183" spans="1:9" x14ac:dyDescent="0.3">
      <c r="A183" s="6"/>
      <c r="B183" s="7"/>
      <c r="C183" s="6"/>
      <c r="D183" s="6"/>
      <c r="E183" s="14"/>
      <c r="F183" s="6"/>
      <c r="G183" s="6"/>
      <c r="H183" s="15"/>
      <c r="I183" s="6"/>
    </row>
    <row r="184" spans="1:9" x14ac:dyDescent="0.3">
      <c r="A184" s="6"/>
      <c r="B184" s="7"/>
      <c r="C184" s="6"/>
      <c r="D184" s="6"/>
      <c r="E184" s="14"/>
      <c r="F184" s="6"/>
      <c r="G184" s="6"/>
      <c r="H184" s="15"/>
      <c r="I184" s="6"/>
    </row>
    <row r="185" spans="1:9" x14ac:dyDescent="0.3">
      <c r="A185" s="6"/>
      <c r="B185" s="7"/>
      <c r="C185" s="6"/>
      <c r="D185" s="6"/>
      <c r="E185" s="14"/>
      <c r="F185" s="6"/>
      <c r="G185" s="6"/>
      <c r="H185" s="15"/>
      <c r="I185" s="6"/>
    </row>
    <row r="186" spans="1:9" x14ac:dyDescent="0.3">
      <c r="A186" s="6"/>
      <c r="B186" s="7"/>
      <c r="C186" s="6"/>
      <c r="D186" s="6"/>
      <c r="E186" s="14"/>
      <c r="F186" s="6"/>
      <c r="G186" s="6"/>
      <c r="H186" s="15"/>
      <c r="I186" s="6"/>
    </row>
    <row r="187" spans="1:9" x14ac:dyDescent="0.3">
      <c r="A187" s="6"/>
      <c r="B187" s="7"/>
      <c r="C187" s="6"/>
      <c r="D187" s="6"/>
      <c r="E187" s="14"/>
      <c r="F187" s="6"/>
      <c r="G187" s="6"/>
      <c r="H187" s="15"/>
      <c r="I187" s="6"/>
    </row>
    <row r="188" spans="1:9" x14ac:dyDescent="0.3">
      <c r="A188" s="6"/>
      <c r="B188" s="7"/>
      <c r="C188" s="6"/>
      <c r="D188" s="6"/>
      <c r="E188" s="14"/>
      <c r="F188" s="6"/>
      <c r="G188" s="6"/>
      <c r="H188" s="15"/>
      <c r="I188" s="6"/>
    </row>
    <row r="189" spans="1:9" x14ac:dyDescent="0.3">
      <c r="A189" s="6"/>
      <c r="B189" s="7"/>
      <c r="C189" s="6"/>
      <c r="D189" s="6"/>
      <c r="E189" s="14"/>
      <c r="F189" s="6"/>
      <c r="G189" s="6"/>
      <c r="H189" s="15"/>
      <c r="I189" s="6"/>
    </row>
    <row r="190" spans="1:9" x14ac:dyDescent="0.3">
      <c r="A190" s="6"/>
      <c r="B190" s="7"/>
      <c r="C190" s="6"/>
      <c r="D190" s="6"/>
      <c r="E190" s="14"/>
      <c r="F190" s="6"/>
      <c r="G190" s="6"/>
      <c r="H190" s="15"/>
      <c r="I190" s="6"/>
    </row>
    <row r="191" spans="1:9" x14ac:dyDescent="0.3">
      <c r="A191" s="6"/>
      <c r="B191" s="7"/>
      <c r="C191" s="6"/>
      <c r="D191" s="6"/>
      <c r="E191" s="14"/>
      <c r="F191" s="6"/>
      <c r="G191" s="6"/>
      <c r="H191" s="15"/>
      <c r="I191" s="6"/>
    </row>
    <row r="192" spans="1:9" x14ac:dyDescent="0.3">
      <c r="A192" s="6"/>
      <c r="B192" s="7"/>
      <c r="C192" s="6"/>
      <c r="D192" s="6"/>
      <c r="E192" s="14"/>
      <c r="F192" s="6"/>
      <c r="G192" s="6"/>
      <c r="H192" s="15"/>
      <c r="I192" s="6"/>
    </row>
    <row r="193" spans="1:9" x14ac:dyDescent="0.3">
      <c r="A193" s="6"/>
      <c r="B193" s="7"/>
      <c r="C193" s="6"/>
      <c r="D193" s="6"/>
      <c r="E193" s="14"/>
      <c r="F193" s="6"/>
      <c r="G193" s="6"/>
      <c r="H193" s="15"/>
      <c r="I193" s="6"/>
    </row>
    <row r="194" spans="1:9" x14ac:dyDescent="0.3">
      <c r="A194" s="6"/>
      <c r="B194" s="7"/>
      <c r="C194" s="6"/>
      <c r="D194" s="6"/>
      <c r="E194" s="14"/>
      <c r="F194" s="6"/>
      <c r="G194" s="6"/>
      <c r="H194" s="15"/>
      <c r="I194" s="6"/>
    </row>
    <row r="195" spans="1:9" x14ac:dyDescent="0.3">
      <c r="A195" s="6"/>
      <c r="B195" s="7"/>
      <c r="C195" s="6"/>
      <c r="D195" s="6"/>
      <c r="E195" s="14"/>
      <c r="F195" s="6"/>
      <c r="G195" s="6"/>
      <c r="H195" s="15"/>
      <c r="I195" s="6"/>
    </row>
    <row r="196" spans="1:9" x14ac:dyDescent="0.3">
      <c r="A196" s="6"/>
      <c r="B196" s="7"/>
      <c r="C196" s="6"/>
      <c r="D196" s="6"/>
      <c r="E196" s="14"/>
      <c r="F196" s="6"/>
      <c r="G196" s="6"/>
      <c r="H196" s="15"/>
      <c r="I196" s="6"/>
    </row>
    <row r="197" spans="1:9" x14ac:dyDescent="0.3">
      <c r="A197" s="6"/>
      <c r="B197" s="7"/>
      <c r="C197" s="6"/>
      <c r="D197" s="6"/>
      <c r="E197" s="14"/>
      <c r="F197" s="6"/>
      <c r="G197" s="6"/>
      <c r="H197" s="15"/>
      <c r="I197" s="6"/>
    </row>
    <row r="198" spans="1:9" x14ac:dyDescent="0.3">
      <c r="A198" s="6"/>
      <c r="B198" s="7"/>
      <c r="C198" s="6"/>
      <c r="D198" s="6"/>
      <c r="E198" s="14"/>
      <c r="F198" s="6"/>
      <c r="G198" s="6"/>
      <c r="H198" s="15"/>
      <c r="I198" s="6"/>
    </row>
    <row r="199" spans="1:9" x14ac:dyDescent="0.3">
      <c r="A199" s="6"/>
      <c r="B199" s="7"/>
      <c r="C199" s="6"/>
      <c r="D199" s="6"/>
      <c r="E199" s="14"/>
      <c r="F199" s="6"/>
      <c r="G199" s="6"/>
      <c r="H199" s="15"/>
      <c r="I199" s="6"/>
    </row>
    <row r="200" spans="1:9" x14ac:dyDescent="0.3">
      <c r="A200" s="6"/>
      <c r="B200" s="7"/>
      <c r="C200" s="6"/>
      <c r="D200" s="6"/>
      <c r="E200" s="14"/>
      <c r="F200" s="6"/>
      <c r="G200" s="6"/>
      <c r="H200" s="15"/>
      <c r="I200" s="6"/>
    </row>
  </sheetData>
  <autoFilter ref="A1:I51" xr:uid="{5597C346-73F9-4EB7-B802-8004F03A8F84}"/>
  <conditionalFormatting sqref="A2:I57">
    <cfRule type="expression" dxfId="0" priority="1">
      <formula>MOD(ROW(),2)=0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DA955-3674-4826-8528-02C8FD01DEB8}">
  <sheetPr>
    <tabColor rgb="FFFFC000"/>
  </sheetPr>
  <dimension ref="A1:E10"/>
  <sheetViews>
    <sheetView zoomScale="80" zoomScaleNormal="80" workbookViewId="0">
      <selection activeCell="H39" sqref="H38:H39"/>
    </sheetView>
  </sheetViews>
  <sheetFormatPr defaultRowHeight="13.2" x14ac:dyDescent="0.3"/>
  <cols>
    <col min="1" max="1" width="19.109375" style="18" bestFit="1" customWidth="1"/>
    <col min="2" max="2" width="11.88671875" style="18" bestFit="1" customWidth="1"/>
    <col min="3" max="3" width="17.33203125" style="18" bestFit="1" customWidth="1"/>
    <col min="4" max="4" width="14.21875" style="18" bestFit="1" customWidth="1"/>
    <col min="5" max="5" width="23.6640625" style="18" bestFit="1" customWidth="1"/>
    <col min="6" max="16384" width="8.88671875" style="18"/>
  </cols>
  <sheetData>
    <row r="1" spans="1:5" x14ac:dyDescent="0.3">
      <c r="A1" s="22" t="s">
        <v>2</v>
      </c>
      <c r="B1" s="18" t="s">
        <v>157</v>
      </c>
    </row>
    <row r="3" spans="1:5" x14ac:dyDescent="0.3">
      <c r="A3" s="17" t="s">
        <v>3</v>
      </c>
      <c r="B3" s="52" t="s">
        <v>154</v>
      </c>
      <c r="C3" s="53" t="s">
        <v>155</v>
      </c>
      <c r="D3" s="54" t="s">
        <v>153</v>
      </c>
      <c r="E3" s="26" t="s">
        <v>156</v>
      </c>
    </row>
    <row r="4" spans="1:5" x14ac:dyDescent="0.3">
      <c r="A4" s="49" t="s">
        <v>27</v>
      </c>
      <c r="B4" s="99">
        <v>10</v>
      </c>
      <c r="C4" s="100">
        <v>9</v>
      </c>
      <c r="D4" s="46">
        <v>0.9</v>
      </c>
      <c r="E4" s="27" t="str">
        <f>IF(D4&gt;=85%, "✅ Meeting SLA", "⚠ Below Target")</f>
        <v>✅ Meeting SLA</v>
      </c>
    </row>
    <row r="5" spans="1:5" x14ac:dyDescent="0.3">
      <c r="A5" s="50" t="s">
        <v>32</v>
      </c>
      <c r="B5" s="101">
        <v>11</v>
      </c>
      <c r="C5" s="102">
        <v>9</v>
      </c>
      <c r="D5" s="47">
        <v>0.81818181818181823</v>
      </c>
      <c r="E5" s="27" t="str">
        <f t="shared" ref="E5:E8" si="0">IF(D5&gt;=85%, "✅ Meeting SLA", "⚠ Below Target")</f>
        <v>⚠ Below Target</v>
      </c>
    </row>
    <row r="6" spans="1:5" x14ac:dyDescent="0.3">
      <c r="A6" s="50" t="s">
        <v>13</v>
      </c>
      <c r="B6" s="101">
        <v>11</v>
      </c>
      <c r="C6" s="102">
        <v>9</v>
      </c>
      <c r="D6" s="47">
        <v>0.81818181818181823</v>
      </c>
      <c r="E6" s="27" t="str">
        <f t="shared" si="0"/>
        <v>⚠ Below Target</v>
      </c>
    </row>
    <row r="7" spans="1:5" x14ac:dyDescent="0.3">
      <c r="A7" s="50" t="s">
        <v>17</v>
      </c>
      <c r="B7" s="101">
        <v>10</v>
      </c>
      <c r="C7" s="102">
        <v>9</v>
      </c>
      <c r="D7" s="47">
        <v>0.9</v>
      </c>
      <c r="E7" s="27" t="str">
        <f t="shared" si="0"/>
        <v>✅ Meeting SLA</v>
      </c>
    </row>
    <row r="8" spans="1:5" x14ac:dyDescent="0.3">
      <c r="A8" s="51" t="s">
        <v>22</v>
      </c>
      <c r="B8" s="103">
        <v>13</v>
      </c>
      <c r="C8" s="104">
        <v>9</v>
      </c>
      <c r="D8" s="48">
        <v>0.69230769230769229</v>
      </c>
      <c r="E8" s="27" t="str">
        <f t="shared" si="0"/>
        <v>⚠ Below Target</v>
      </c>
    </row>
    <row r="9" spans="1:5" x14ac:dyDescent="0.3">
      <c r="A9" s="23" t="s">
        <v>152</v>
      </c>
      <c r="B9" s="97">
        <v>55</v>
      </c>
      <c r="C9" s="98">
        <v>45</v>
      </c>
      <c r="D9" s="24">
        <v>0.81818181818181823</v>
      </c>
    </row>
    <row r="10" spans="1:5" x14ac:dyDescent="0.3">
      <c r="A10"/>
      <c r="B10"/>
      <c r="C10"/>
      <c r="D10"/>
    </row>
  </sheetData>
  <conditionalFormatting pivot="1" sqref="D4:D8">
    <cfRule type="cellIs" dxfId="11" priority="2" operator="lessThanOrEqual">
      <formula>0.92</formula>
    </cfRule>
  </conditionalFormatting>
  <conditionalFormatting pivot="1" sqref="D4:D8">
    <cfRule type="cellIs" dxfId="10" priority="1" operator="greaterThanOrEqual">
      <formula>0.92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A887B-F615-4D6B-918A-A4A8D66983EC}">
  <sheetPr>
    <tabColor rgb="FFFF0000"/>
  </sheetPr>
  <dimension ref="A1:L9"/>
  <sheetViews>
    <sheetView topLeftCell="A4" zoomScale="80" zoomScaleNormal="80" workbookViewId="0">
      <selection activeCell="C33" sqref="C33"/>
    </sheetView>
  </sheetViews>
  <sheetFormatPr defaultRowHeight="13.2" x14ac:dyDescent="0.3"/>
  <cols>
    <col min="1" max="1" width="19.88671875" style="18" bestFit="1" customWidth="1"/>
    <col min="2" max="2" width="12" style="18" bestFit="1" customWidth="1"/>
    <col min="3" max="3" width="16.21875" style="18" bestFit="1" customWidth="1"/>
    <col min="4" max="4" width="13.109375" style="18" bestFit="1" customWidth="1"/>
    <col min="5" max="5" width="8.88671875" style="18"/>
    <col min="6" max="6" width="20.77734375" style="18" customWidth="1"/>
    <col min="7" max="11" width="16.77734375" style="18" customWidth="1"/>
    <col min="12" max="12" width="12.77734375" style="18" customWidth="1"/>
    <col min="13" max="16384" width="8.88671875" style="18"/>
  </cols>
  <sheetData>
    <row r="1" spans="1:12" x14ac:dyDescent="0.3">
      <c r="A1" s="42" t="s">
        <v>2</v>
      </c>
      <c r="B1" s="43" t="s">
        <v>157</v>
      </c>
      <c r="F1" s="64" t="s">
        <v>161</v>
      </c>
      <c r="G1" s="65"/>
      <c r="H1" s="65"/>
      <c r="I1" s="65"/>
      <c r="J1" s="65"/>
      <c r="K1" s="65"/>
      <c r="L1" s="37"/>
    </row>
    <row r="3" spans="1:12" x14ac:dyDescent="0.3">
      <c r="A3" s="21" t="s">
        <v>7</v>
      </c>
      <c r="B3" s="21" t="s">
        <v>158</v>
      </c>
      <c r="C3" s="29" t="s">
        <v>159</v>
      </c>
      <c r="D3" s="30" t="s">
        <v>160</v>
      </c>
      <c r="F3" s="21"/>
      <c r="G3" s="21" t="s">
        <v>13</v>
      </c>
      <c r="H3" s="21" t="s">
        <v>17</v>
      </c>
      <c r="I3" s="21" t="s">
        <v>22</v>
      </c>
      <c r="J3" s="21" t="s">
        <v>27</v>
      </c>
      <c r="K3" s="21" t="s">
        <v>32</v>
      </c>
      <c r="L3" s="21" t="s">
        <v>162</v>
      </c>
    </row>
    <row r="4" spans="1:12" x14ac:dyDescent="0.3">
      <c r="A4" s="28" t="s">
        <v>25</v>
      </c>
      <c r="B4" s="104">
        <v>3</v>
      </c>
      <c r="C4" s="31">
        <f>B4/SUM($B$4:$B$8)</f>
        <v>0.3</v>
      </c>
      <c r="D4" s="32">
        <f>C4</f>
        <v>0.3</v>
      </c>
      <c r="F4" s="19" t="s">
        <v>25</v>
      </c>
      <c r="G4" s="19">
        <f>COUNTIFS(REFINED_DATA!$C:$C,PIVOT_ERRORS!G$3,REFINED_DATA!$G:$G,PIVOT_ERRORS!$F4)</f>
        <v>0</v>
      </c>
      <c r="H4" s="19">
        <f>COUNTIFS(REFINED_DATA!$C:$C,PIVOT_ERRORS!H$3,REFINED_DATA!$G:$G,PIVOT_ERRORS!$F4)</f>
        <v>0</v>
      </c>
      <c r="I4" s="19">
        <f>COUNTIFS(REFINED_DATA!$C:$C,PIVOT_ERRORS!I$3,REFINED_DATA!$G:$G,PIVOT_ERRORS!$F4)</f>
        <v>2</v>
      </c>
      <c r="J4" s="19">
        <f>COUNTIFS(REFINED_DATA!$C:$C,PIVOT_ERRORS!J$3,REFINED_DATA!$G:$G,PIVOT_ERRORS!$F4)</f>
        <v>1</v>
      </c>
      <c r="K4" s="19">
        <f>COUNTIFS(REFINED_DATA!$C:$C,PIVOT_ERRORS!K$3,REFINED_DATA!$G:$G,PIVOT_ERRORS!$F4)</f>
        <v>0</v>
      </c>
      <c r="L4" s="20">
        <f>SUM(G4:K4)</f>
        <v>3</v>
      </c>
    </row>
    <row r="5" spans="1:12" x14ac:dyDescent="0.3">
      <c r="A5" s="44" t="s">
        <v>36</v>
      </c>
      <c r="B5" s="107">
        <v>3</v>
      </c>
      <c r="C5" s="31">
        <f t="shared" ref="C5:C8" si="0">B5/SUM($B$4:$B$8)</f>
        <v>0.3</v>
      </c>
      <c r="D5" s="32">
        <f>D4+C5</f>
        <v>0.6</v>
      </c>
      <c r="F5" s="19" t="s">
        <v>36</v>
      </c>
      <c r="G5" s="19">
        <f>COUNTIFS(REFINED_DATA!$C:$C,PIVOT_ERRORS!G$3,REFINED_DATA!$G:$G,PIVOT_ERRORS!$F5)</f>
        <v>1</v>
      </c>
      <c r="H5" s="19">
        <f>COUNTIFS(REFINED_DATA!$C:$C,PIVOT_ERRORS!H$3,REFINED_DATA!$G:$G,PIVOT_ERRORS!$F5)</f>
        <v>1</v>
      </c>
      <c r="I5" s="19">
        <f>COUNTIFS(REFINED_DATA!$C:$C,PIVOT_ERRORS!I$3,REFINED_DATA!$G:$G,PIVOT_ERRORS!$F5)</f>
        <v>0</v>
      </c>
      <c r="J5" s="19">
        <f>COUNTIFS(REFINED_DATA!$C:$C,PIVOT_ERRORS!J$3,REFINED_DATA!$G:$G,PIVOT_ERRORS!$F5)</f>
        <v>0</v>
      </c>
      <c r="K5" s="19">
        <f>COUNTIFS(REFINED_DATA!$C:$C,PIVOT_ERRORS!K$3,REFINED_DATA!$G:$G,PIVOT_ERRORS!$F5)</f>
        <v>1</v>
      </c>
      <c r="L5" s="20">
        <f t="shared" ref="L5:L9" si="1">SUM(G5:K5)</f>
        <v>3</v>
      </c>
    </row>
    <row r="6" spans="1:12" x14ac:dyDescent="0.3">
      <c r="A6" s="44" t="s">
        <v>47</v>
      </c>
      <c r="B6" s="107">
        <v>2</v>
      </c>
      <c r="C6" s="31">
        <f t="shared" si="0"/>
        <v>0.2</v>
      </c>
      <c r="D6" s="32">
        <f t="shared" ref="D6:D8" si="2">D5+C6</f>
        <v>0.8</v>
      </c>
      <c r="F6" s="19" t="s">
        <v>47</v>
      </c>
      <c r="G6" s="19">
        <f>COUNTIFS(REFINED_DATA!$C:$C,PIVOT_ERRORS!G$3,REFINED_DATA!$G:$G,PIVOT_ERRORS!$F6)</f>
        <v>1</v>
      </c>
      <c r="H6" s="19">
        <f>COUNTIFS(REFINED_DATA!$C:$C,PIVOT_ERRORS!H$3,REFINED_DATA!$G:$G,PIVOT_ERRORS!$F6)</f>
        <v>0</v>
      </c>
      <c r="I6" s="19">
        <f>COUNTIFS(REFINED_DATA!$C:$C,PIVOT_ERRORS!I$3,REFINED_DATA!$G:$G,PIVOT_ERRORS!$F6)</f>
        <v>0</v>
      </c>
      <c r="J6" s="19">
        <f>COUNTIFS(REFINED_DATA!$C:$C,PIVOT_ERRORS!J$3,REFINED_DATA!$G:$G,PIVOT_ERRORS!$F6)</f>
        <v>0</v>
      </c>
      <c r="K6" s="19">
        <f>COUNTIFS(REFINED_DATA!$C:$C,PIVOT_ERRORS!K$3,REFINED_DATA!$G:$G,PIVOT_ERRORS!$F6)</f>
        <v>1</v>
      </c>
      <c r="L6" s="20">
        <f t="shared" si="1"/>
        <v>2</v>
      </c>
    </row>
    <row r="7" spans="1:12" x14ac:dyDescent="0.3">
      <c r="A7" s="44" t="s">
        <v>84</v>
      </c>
      <c r="B7" s="107">
        <v>1</v>
      </c>
      <c r="C7" s="31">
        <f t="shared" si="0"/>
        <v>0.1</v>
      </c>
      <c r="D7" s="32">
        <f t="shared" si="2"/>
        <v>0.9</v>
      </c>
      <c r="F7" s="19" t="s">
        <v>84</v>
      </c>
      <c r="G7" s="19">
        <f>COUNTIFS(REFINED_DATA!$C:$C,PIVOT_ERRORS!G$3,REFINED_DATA!$G:$G,PIVOT_ERRORS!$F7)</f>
        <v>0</v>
      </c>
      <c r="H7" s="19">
        <f>COUNTIFS(REFINED_DATA!$C:$C,PIVOT_ERRORS!H$3,REFINED_DATA!$G:$G,PIVOT_ERRORS!$F7)</f>
        <v>0</v>
      </c>
      <c r="I7" s="19">
        <f>COUNTIFS(REFINED_DATA!$C:$C,PIVOT_ERRORS!I$3,REFINED_DATA!$G:$G,PIVOT_ERRORS!$F7)</f>
        <v>1</v>
      </c>
      <c r="J7" s="19">
        <f>COUNTIFS(REFINED_DATA!$C:$C,PIVOT_ERRORS!J$3,REFINED_DATA!$G:$G,PIVOT_ERRORS!$F7)</f>
        <v>0</v>
      </c>
      <c r="K7" s="19">
        <f>COUNTIFS(REFINED_DATA!$C:$C,PIVOT_ERRORS!K$3,REFINED_DATA!$G:$G,PIVOT_ERRORS!$F7)</f>
        <v>0</v>
      </c>
      <c r="L7" s="20">
        <f t="shared" si="1"/>
        <v>1</v>
      </c>
    </row>
    <row r="8" spans="1:12" x14ac:dyDescent="0.3">
      <c r="A8" s="45" t="s">
        <v>97</v>
      </c>
      <c r="B8" s="100">
        <v>1</v>
      </c>
      <c r="C8" s="33">
        <f t="shared" si="0"/>
        <v>0.1</v>
      </c>
      <c r="D8" s="34">
        <f t="shared" si="2"/>
        <v>1</v>
      </c>
      <c r="F8" s="19" t="s">
        <v>97</v>
      </c>
      <c r="G8" s="19">
        <f>COUNTIFS(REFINED_DATA!$C:$C,PIVOT_ERRORS!G$3,REFINED_DATA!$G:$G,PIVOT_ERRORS!$F8)</f>
        <v>0</v>
      </c>
      <c r="H8" s="19">
        <f>COUNTIFS(REFINED_DATA!$C:$C,PIVOT_ERRORS!H$3,REFINED_DATA!$G:$G,PIVOT_ERRORS!$F8)</f>
        <v>0</v>
      </c>
      <c r="I8" s="19">
        <f>COUNTIFS(REFINED_DATA!$C:$C,PIVOT_ERRORS!I$3,REFINED_DATA!$G:$G,PIVOT_ERRORS!$F8)</f>
        <v>1</v>
      </c>
      <c r="J8" s="19">
        <f>COUNTIFS(REFINED_DATA!$C:$C,PIVOT_ERRORS!J$3,REFINED_DATA!$G:$G,PIVOT_ERRORS!$F8)</f>
        <v>0</v>
      </c>
      <c r="K8" s="19">
        <f>COUNTIFS(REFINED_DATA!$C:$C,PIVOT_ERRORS!K$3,REFINED_DATA!$G:$G,PIVOT_ERRORS!$F8)</f>
        <v>0</v>
      </c>
      <c r="L8" s="20">
        <f t="shared" si="1"/>
        <v>1</v>
      </c>
    </row>
    <row r="9" spans="1:12" x14ac:dyDescent="0.3">
      <c r="A9" s="25" t="s">
        <v>152</v>
      </c>
      <c r="B9" s="106">
        <v>10</v>
      </c>
      <c r="C9" s="35">
        <f>SUM(C4:C8)</f>
        <v>1</v>
      </c>
      <c r="D9" s="36"/>
      <c r="F9" s="21" t="s">
        <v>162</v>
      </c>
      <c r="G9" s="21">
        <f>SUM(G4:G8)</f>
        <v>2</v>
      </c>
      <c r="H9" s="21">
        <f t="shared" ref="H9:K9" si="3">SUM(H4:H8)</f>
        <v>1</v>
      </c>
      <c r="I9" s="21">
        <f t="shared" si="3"/>
        <v>4</v>
      </c>
      <c r="J9" s="21">
        <f t="shared" si="3"/>
        <v>1</v>
      </c>
      <c r="K9" s="21">
        <f t="shared" si="3"/>
        <v>2</v>
      </c>
      <c r="L9" s="21">
        <f t="shared" si="1"/>
        <v>10</v>
      </c>
    </row>
  </sheetData>
  <mergeCells count="1">
    <mergeCell ref="F1:K1"/>
  </mergeCells>
  <conditionalFormatting sqref="G4:K8">
    <cfRule type="cellIs" dxfId="9" priority="1" operator="greaterThan">
      <formula>0</formula>
    </cfRule>
  </conditionalFormatting>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621AC-F971-4A98-8206-D9D20FE5CA10}">
  <sheetPr>
    <tabColor rgb="FF7030A0"/>
  </sheetPr>
  <dimension ref="A1:H26"/>
  <sheetViews>
    <sheetView zoomScale="80" zoomScaleNormal="80" workbookViewId="0">
      <selection activeCell="G10" sqref="G10:H10"/>
    </sheetView>
  </sheetViews>
  <sheetFormatPr defaultRowHeight="13.2" x14ac:dyDescent="0.3"/>
  <cols>
    <col min="1" max="1" width="18.77734375" style="18" bestFit="1" customWidth="1"/>
    <col min="2" max="2" width="11.6640625" style="18" bestFit="1" customWidth="1"/>
    <col min="3" max="3" width="9" style="18" bestFit="1" customWidth="1"/>
    <col min="4" max="4" width="9.33203125" style="18" bestFit="1" customWidth="1"/>
    <col min="5" max="5" width="14.5546875" style="18" bestFit="1" customWidth="1"/>
    <col min="6" max="7" width="19.5546875" style="18" bestFit="1" customWidth="1"/>
    <col min="8" max="9" width="14.5546875" style="18" bestFit="1" customWidth="1"/>
    <col min="10" max="16384" width="8.88671875" style="18"/>
  </cols>
  <sheetData>
    <row r="1" spans="1:8" x14ac:dyDescent="0.3">
      <c r="A1" s="22" t="s">
        <v>2</v>
      </c>
      <c r="B1" s="18" t="s">
        <v>157</v>
      </c>
    </row>
    <row r="3" spans="1:8" ht="14.4" hidden="1" x14ac:dyDescent="0.3">
      <c r="A3" s="16" t="s">
        <v>165</v>
      </c>
      <c r="B3" s="16" t="s">
        <v>175</v>
      </c>
      <c r="C3" s="85"/>
      <c r="D3" s="85"/>
      <c r="E3"/>
      <c r="F3" s="57"/>
    </row>
    <row r="4" spans="1:8" ht="14.4" x14ac:dyDescent="0.3">
      <c r="A4" s="16" t="s">
        <v>3</v>
      </c>
      <c r="B4" s="16" t="s">
        <v>163</v>
      </c>
      <c r="C4" s="16" t="s">
        <v>164</v>
      </c>
      <c r="D4" s="16" t="s">
        <v>152</v>
      </c>
      <c r="E4"/>
      <c r="F4" s="38" t="s">
        <v>166</v>
      </c>
      <c r="G4" s="55" t="s">
        <v>167</v>
      </c>
      <c r="H4" s="55" t="s">
        <v>168</v>
      </c>
    </row>
    <row r="5" spans="1:8" ht="14.4" x14ac:dyDescent="0.3">
      <c r="A5" s="18" t="s">
        <v>27</v>
      </c>
      <c r="B5" s="108">
        <v>4</v>
      </c>
      <c r="C5" s="108">
        <v>6</v>
      </c>
      <c r="D5" s="108">
        <v>10</v>
      </c>
      <c r="E5"/>
      <c r="F5" s="39">
        <f>COUNTIFS(REFINED_DATA!$C:$C,PIVOT_SLA!$A5,REFINED_DATA!$I:$I,"Met")/COUNTIF(REFINED_DATA!$C:$C,PIVOT_SLA!$A5)</f>
        <v>0.6</v>
      </c>
      <c r="G5" s="40">
        <f>AVERAGEIF(REFINED_DATA!$C:$C,PIVOT_SLA!A5,REFINED_DATA!$H:$H)</f>
        <v>8.43</v>
      </c>
      <c r="H5" s="41" t="str">
        <f>IF(G5&lt;=8,"✅ Within target","⚠ Above target")</f>
        <v>⚠ Above target</v>
      </c>
    </row>
    <row r="6" spans="1:8" ht="14.4" x14ac:dyDescent="0.3">
      <c r="A6" s="18" t="s">
        <v>32</v>
      </c>
      <c r="B6" s="108">
        <v>2</v>
      </c>
      <c r="C6" s="108">
        <v>9</v>
      </c>
      <c r="D6" s="108">
        <v>11</v>
      </c>
      <c r="E6"/>
      <c r="F6" s="39">
        <f>COUNTIFS(REFINED_DATA!$C:$C,PIVOT_SLA!$A6,REFINED_DATA!$I:$I,"Met")/COUNTIF(REFINED_DATA!$C:$C,PIVOT_SLA!$A6)</f>
        <v>0.81818181818181823</v>
      </c>
      <c r="G6" s="40">
        <f>AVERAGEIF(REFINED_DATA!$C:$C,PIVOT_SLA!A6,REFINED_DATA!$H:$H)</f>
        <v>8.1545454545454543</v>
      </c>
      <c r="H6" s="41" t="str">
        <f t="shared" ref="H6:H8" si="0">IF(G6&lt;=8,"✅ Within target","⚠ Above target")</f>
        <v>⚠ Above target</v>
      </c>
    </row>
    <row r="7" spans="1:8" ht="14.4" x14ac:dyDescent="0.3">
      <c r="A7" s="18" t="s">
        <v>13</v>
      </c>
      <c r="B7" s="108">
        <v>1</v>
      </c>
      <c r="C7" s="108">
        <v>10</v>
      </c>
      <c r="D7" s="108">
        <v>11</v>
      </c>
      <c r="E7"/>
      <c r="F7" s="39">
        <f>COUNTIFS(REFINED_DATA!$C:$C,PIVOT_SLA!$A7,REFINED_DATA!$I:$I,"Met")/COUNTIF(REFINED_DATA!$C:$C,PIVOT_SLA!$A7)</f>
        <v>0.90909090909090906</v>
      </c>
      <c r="G7" s="40">
        <f>AVERAGEIF(REFINED_DATA!$C:$C,PIVOT_SLA!A7,REFINED_DATA!$H:$H)</f>
        <v>6.8363636363636369</v>
      </c>
      <c r="H7" s="41" t="str">
        <f t="shared" si="0"/>
        <v>✅ Within target</v>
      </c>
    </row>
    <row r="8" spans="1:8" ht="14.4" x14ac:dyDescent="0.3">
      <c r="A8" s="18" t="s">
        <v>17</v>
      </c>
      <c r="B8" s="108">
        <v>2</v>
      </c>
      <c r="C8" s="108">
        <v>8</v>
      </c>
      <c r="D8" s="108">
        <v>10</v>
      </c>
      <c r="E8"/>
      <c r="F8" s="39">
        <f>COUNTIFS(REFINED_DATA!$C:$C,PIVOT_SLA!$A8,REFINED_DATA!$I:$I,"Met")/COUNTIF(REFINED_DATA!$C:$C,PIVOT_SLA!$A8)</f>
        <v>0.8</v>
      </c>
      <c r="G8" s="40">
        <f>AVERAGEIF(REFINED_DATA!$C:$C,PIVOT_SLA!A8,REFINED_DATA!$H:$H)</f>
        <v>6.95</v>
      </c>
      <c r="H8" s="41" t="str">
        <f t="shared" si="0"/>
        <v>✅ Within target</v>
      </c>
    </row>
    <row r="9" spans="1:8" ht="14.4" x14ac:dyDescent="0.3">
      <c r="A9" s="18" t="s">
        <v>22</v>
      </c>
      <c r="B9" s="108">
        <v>3</v>
      </c>
      <c r="C9" s="108">
        <v>10</v>
      </c>
      <c r="D9" s="108">
        <v>13</v>
      </c>
      <c r="E9"/>
      <c r="F9" s="39">
        <f>COUNTIFS(REFINED_DATA!$C:$C,PIVOT_SLA!$A9,REFINED_DATA!$I:$I,"Met")/COUNTIF(REFINED_DATA!$C:$C,PIVOT_SLA!$A9)</f>
        <v>0.76923076923076927</v>
      </c>
      <c r="G9" s="40">
        <f>AVERAGEIF(REFINED_DATA!$C:$C,PIVOT_SLA!A9,REFINED_DATA!$H:$H)</f>
        <v>8.3538461538461526</v>
      </c>
      <c r="H9" s="41" t="str">
        <f>IF(G9&lt;=8,"✅ Within target","⚠ Above target")</f>
        <v>⚠ Above target</v>
      </c>
    </row>
    <row r="10" spans="1:8" ht="15" customHeight="1" x14ac:dyDescent="0.3">
      <c r="A10" s="16" t="s">
        <v>152</v>
      </c>
      <c r="B10" s="105">
        <v>12</v>
      </c>
      <c r="C10" s="105">
        <v>43</v>
      </c>
      <c r="D10" s="105">
        <v>55</v>
      </c>
      <c r="E10"/>
      <c r="F10" s="38" t="s">
        <v>169</v>
      </c>
      <c r="G10" s="40">
        <v>8</v>
      </c>
      <c r="H10" s="41"/>
    </row>
    <row r="11" spans="1:8" x14ac:dyDescent="0.3">
      <c r="A11"/>
      <c r="B11"/>
      <c r="C11"/>
      <c r="D11"/>
      <c r="E11"/>
      <c r="F11" s="38" t="s">
        <v>170</v>
      </c>
      <c r="G11" s="40">
        <f>AVERAGEIF(REFINED_DATA!$C:$C,"&lt;&gt;",REFINED_DATA!$H:$H)</f>
        <v>7.7690909090909095</v>
      </c>
      <c r="H11" s="41" t="str">
        <f t="shared" ref="H11" si="1">IF(G11&lt;8,"✅ Within target","⚠ Above target")</f>
        <v>✅ Within target</v>
      </c>
    </row>
    <row r="13" spans="1:8" ht="22.05" customHeight="1" x14ac:dyDescent="0.3">
      <c r="A13" s="66" t="s">
        <v>176</v>
      </c>
      <c r="B13" s="66"/>
      <c r="C13" s="66"/>
      <c r="D13" s="66"/>
      <c r="E13" s="66"/>
      <c r="F13" s="66"/>
      <c r="G13" s="66"/>
      <c r="H13" s="66"/>
    </row>
    <row r="15" spans="1:8" ht="6" customHeight="1" x14ac:dyDescent="0.3">
      <c r="A15" s="59"/>
      <c r="B15" s="59"/>
      <c r="C15" s="59"/>
      <c r="D15" s="59"/>
      <c r="E15" s="59"/>
      <c r="F15" s="59"/>
      <c r="G15" s="59"/>
      <c r="H15" s="59"/>
    </row>
    <row r="17" spans="1:8" x14ac:dyDescent="0.3">
      <c r="A17" s="16" t="s">
        <v>5</v>
      </c>
      <c r="B17" s="16" t="s">
        <v>171</v>
      </c>
      <c r="C17" s="16" t="s">
        <v>172</v>
      </c>
      <c r="D17" s="16" t="s">
        <v>173</v>
      </c>
      <c r="E17" s="58" t="s">
        <v>174</v>
      </c>
    </row>
    <row r="18" spans="1:8" x14ac:dyDescent="0.3">
      <c r="A18" s="18" t="s">
        <v>29</v>
      </c>
      <c r="B18" s="108">
        <v>11</v>
      </c>
      <c r="C18" s="109">
        <v>8.1090909090909093</v>
      </c>
      <c r="D18" s="109">
        <v>11.2</v>
      </c>
      <c r="E18" s="41" t="str">
        <f>IF(C18&lt;=8,"✅ Within target","⚠ Above target")</f>
        <v>⚠ Above target</v>
      </c>
    </row>
    <row r="19" spans="1:8" x14ac:dyDescent="0.3">
      <c r="A19" s="18" t="s">
        <v>19</v>
      </c>
      <c r="B19" s="108">
        <v>15</v>
      </c>
      <c r="C19" s="109">
        <v>7.8266666666666662</v>
      </c>
      <c r="D19" s="109">
        <v>10.5</v>
      </c>
      <c r="E19" s="41" t="str">
        <f t="shared" ref="E19:E22" si="2">IF(C19&lt;=8,"✅ Within target","⚠ Above target")</f>
        <v>✅ Within target</v>
      </c>
    </row>
    <row r="20" spans="1:8" x14ac:dyDescent="0.3">
      <c r="A20" s="18" t="s">
        <v>24</v>
      </c>
      <c r="B20" s="108">
        <v>10</v>
      </c>
      <c r="C20" s="109">
        <v>7.32</v>
      </c>
      <c r="D20" s="109">
        <v>11</v>
      </c>
      <c r="E20" s="41" t="str">
        <f t="shared" si="2"/>
        <v>✅ Within target</v>
      </c>
    </row>
    <row r="21" spans="1:8" x14ac:dyDescent="0.3">
      <c r="A21" s="18" t="s">
        <v>15</v>
      </c>
      <c r="B21" s="108">
        <v>19</v>
      </c>
      <c r="C21" s="109">
        <v>7.7631578947368425</v>
      </c>
      <c r="D21" s="109">
        <v>12.5</v>
      </c>
      <c r="E21" s="41" t="str">
        <f t="shared" si="2"/>
        <v>✅ Within target</v>
      </c>
    </row>
    <row r="22" spans="1:8" x14ac:dyDescent="0.3">
      <c r="A22" s="16" t="s">
        <v>152</v>
      </c>
      <c r="B22" s="105">
        <v>55</v>
      </c>
      <c r="C22" s="56">
        <v>7.7690909090909095</v>
      </c>
      <c r="D22" s="56">
        <v>12.5</v>
      </c>
      <c r="E22" s="40" t="str">
        <f t="shared" si="2"/>
        <v>✅ Within target</v>
      </c>
    </row>
    <row r="23" spans="1:8" x14ac:dyDescent="0.3">
      <c r="A23"/>
      <c r="B23"/>
      <c r="C23"/>
      <c r="D23"/>
    </row>
    <row r="24" spans="1:8" ht="22.05" customHeight="1" x14ac:dyDescent="0.3">
      <c r="A24" s="66" t="s">
        <v>177</v>
      </c>
      <c r="B24" s="66"/>
      <c r="C24" s="66"/>
      <c r="D24" s="66"/>
      <c r="E24" s="66"/>
      <c r="F24" s="66"/>
      <c r="G24" s="66"/>
      <c r="H24" s="66"/>
    </row>
    <row r="26" spans="1:8" ht="6" customHeight="1" x14ac:dyDescent="0.3">
      <c r="A26" s="59"/>
      <c r="B26" s="59"/>
      <c r="C26" s="59"/>
      <c r="D26" s="59"/>
      <c r="E26" s="59"/>
      <c r="F26" s="59"/>
      <c r="G26" s="59"/>
      <c r="H26" s="59"/>
    </row>
  </sheetData>
  <mergeCells count="2">
    <mergeCell ref="A13:H13"/>
    <mergeCell ref="A24:H24"/>
  </mergeCells>
  <conditionalFormatting sqref="G5:G11">
    <cfRule type="cellIs" dxfId="8" priority="7" operator="lessThanOrEqual">
      <formula>8</formula>
    </cfRule>
    <cfRule type="cellIs" dxfId="7" priority="8" operator="greaterThan">
      <formula>8</formula>
    </cfRule>
  </conditionalFormatting>
  <conditionalFormatting pivot="1" sqref="C18:C21">
    <cfRule type="cellIs" dxfId="6" priority="1" operator="lessThanOrEqual">
      <formula>8</formula>
    </cfRule>
    <cfRule type="cellIs" dxfId="5" priority="2" operator="greaterThan">
      <formula>8</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RAW_DATA</vt:lpstr>
      <vt:lpstr>REFINED_DATA</vt:lpstr>
      <vt:lpstr>PIVOT_ACCURACY</vt:lpstr>
      <vt:lpstr>PIVOT_ERRORS</vt:lpstr>
      <vt:lpstr>PIVOT_SLA</vt:lpstr>
      <vt:lpstr>Audit_ID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Kalpesh Hule</cp:lastModifiedBy>
  <dcterms:created xsi:type="dcterms:W3CDTF">2026-08-01T05:59:00Z</dcterms:created>
  <dcterms:modified xsi:type="dcterms:W3CDTF">2026-08-13T13:49:53Z</dcterms:modified>
</cp:coreProperties>
</file>